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7F1A0D5B-E5BD-44A7-9A1B-EAFCD15891A5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49" i="7" l="1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H442" i="4"/>
  <c r="H443" i="4"/>
  <c r="H444" i="4"/>
  <c r="H445" i="4"/>
  <c r="H446" i="4"/>
  <c r="H447" i="4"/>
  <c r="H448" i="4"/>
  <c r="H449" i="4"/>
  <c r="H450" i="4"/>
  <c r="H451" i="4"/>
  <c r="A232" i="7"/>
  <c r="A240" i="7"/>
  <c r="A231" i="7"/>
  <c r="A230" i="7"/>
  <c r="A229" i="7"/>
  <c r="A227" i="7"/>
  <c r="A241" i="7"/>
  <c r="A242" i="7"/>
  <c r="A243" i="7"/>
  <c r="A244" i="7"/>
  <c r="A245" i="7"/>
  <c r="A246" i="7"/>
  <c r="A247" i="7"/>
  <c r="A248" i="7"/>
  <c r="H438" i="4"/>
  <c r="H434" i="4"/>
  <c r="H435" i="4"/>
  <c r="H436" i="4"/>
  <c r="H439" i="4"/>
  <c r="H440" i="4"/>
  <c r="H441" i="4"/>
  <c r="A438" i="4"/>
  <c r="A434" i="4"/>
  <c r="A435" i="4"/>
  <c r="A436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220" i="7"/>
  <c r="A225" i="7"/>
  <c r="A224" i="7"/>
  <c r="A221" i="7"/>
  <c r="A222" i="7"/>
  <c r="A215" i="7"/>
  <c r="A223" i="7"/>
  <c r="A226" i="7"/>
  <c r="A228" i="7"/>
  <c r="A211" i="7"/>
  <c r="A213" i="7"/>
  <c r="A212" i="7"/>
  <c r="A214" i="7"/>
  <c r="A216" i="7"/>
  <c r="A219" i="7"/>
  <c r="A218" i="7"/>
  <c r="A217" i="7"/>
  <c r="H427" i="4"/>
  <c r="H428" i="4"/>
  <c r="H429" i="4"/>
  <c r="H430" i="4"/>
  <c r="H431" i="4"/>
  <c r="H432" i="4"/>
  <c r="H433" i="4"/>
  <c r="H437" i="4"/>
  <c r="A427" i="4"/>
  <c r="A428" i="4"/>
  <c r="A429" i="4"/>
  <c r="A430" i="4"/>
  <c r="A431" i="4"/>
  <c r="A432" i="4"/>
  <c r="A433" i="4"/>
  <c r="A437" i="4"/>
  <c r="H420" i="4"/>
  <c r="H424" i="4"/>
  <c r="H425" i="4"/>
  <c r="H426" i="4"/>
  <c r="H421" i="4"/>
  <c r="H422" i="4"/>
  <c r="H423" i="4"/>
  <c r="A420" i="4"/>
  <c r="A424" i="4"/>
  <c r="A425" i="4"/>
  <c r="A426" i="4"/>
  <c r="A421" i="4"/>
  <c r="A422" i="4"/>
  <c r="A423" i="4"/>
  <c r="A204" i="7"/>
  <c r="A206" i="7"/>
  <c r="A209" i="7"/>
  <c r="A208" i="7"/>
  <c r="A207" i="7"/>
  <c r="A210" i="7"/>
  <c r="H418" i="4"/>
  <c r="H414" i="4"/>
  <c r="H415" i="4"/>
  <c r="H419" i="4"/>
  <c r="A418" i="4"/>
  <c r="A414" i="4"/>
  <c r="A415" i="4"/>
  <c r="A419" i="4"/>
  <c r="H410" i="4"/>
  <c r="H411" i="4"/>
  <c r="H412" i="4"/>
  <c r="H416" i="4"/>
  <c r="H413" i="4"/>
  <c r="H417" i="4"/>
  <c r="A410" i="4"/>
  <c r="A411" i="4"/>
  <c r="A412" i="4"/>
  <c r="A416" i="4"/>
  <c r="A413" i="4"/>
  <c r="A417" i="4"/>
  <c r="A200" i="7"/>
  <c r="A201" i="7"/>
  <c r="A202" i="7"/>
  <c r="A203" i="7"/>
  <c r="A205" i="7"/>
  <c r="H397" i="4"/>
  <c r="H398" i="4"/>
  <c r="H399" i="4"/>
  <c r="H400" i="4"/>
  <c r="H401" i="4"/>
  <c r="H407" i="4"/>
  <c r="H408" i="4"/>
  <c r="H409" i="4"/>
  <c r="H402" i="4"/>
  <c r="H403" i="4"/>
  <c r="H404" i="4"/>
  <c r="H405" i="4"/>
  <c r="H406" i="4"/>
  <c r="A397" i="4"/>
  <c r="A398" i="4"/>
  <c r="A399" i="4"/>
  <c r="A400" i="4"/>
  <c r="A401" i="4"/>
  <c r="A407" i="4"/>
  <c r="A408" i="4"/>
  <c r="A409" i="4"/>
  <c r="A402" i="4"/>
  <c r="A403" i="4"/>
  <c r="A404" i="4"/>
  <c r="A405" i="4"/>
  <c r="A406" i="4"/>
  <c r="A196" i="7"/>
  <c r="A197" i="7"/>
  <c r="A198" i="7"/>
  <c r="A199" i="7"/>
  <c r="H392" i="4"/>
  <c r="H386" i="4"/>
  <c r="H387" i="4"/>
  <c r="H388" i="4"/>
  <c r="H393" i="4"/>
  <c r="H394" i="4"/>
  <c r="H395" i="4"/>
  <c r="H396" i="4"/>
  <c r="A392" i="4"/>
  <c r="A386" i="4"/>
  <c r="A387" i="4"/>
  <c r="A388" i="4"/>
  <c r="A393" i="4"/>
  <c r="A394" i="4"/>
  <c r="A395" i="4"/>
  <c r="A396" i="4"/>
  <c r="A185" i="7"/>
  <c r="A186" i="7"/>
  <c r="A187" i="7"/>
  <c r="A188" i="7"/>
  <c r="A192" i="7"/>
  <c r="A189" i="7"/>
  <c r="A191" i="7"/>
  <c r="A190" i="7"/>
  <c r="A193" i="7"/>
  <c r="A194" i="7"/>
  <c r="A195" i="7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6" i="4"/>
  <c r="H37" i="4"/>
  <c r="H38" i="4"/>
  <c r="H33" i="4"/>
  <c r="H34" i="4"/>
  <c r="H35" i="4"/>
  <c r="H39" i="4"/>
  <c r="H40" i="4"/>
  <c r="H41" i="4"/>
  <c r="H42" i="4"/>
  <c r="H44" i="4"/>
  <c r="H45" i="4"/>
  <c r="H11" i="4"/>
  <c r="H47" i="4"/>
  <c r="H48" i="4"/>
  <c r="H49" i="4"/>
  <c r="H156" i="4"/>
  <c r="H50" i="4"/>
  <c r="H51" i="4"/>
  <c r="H52" i="4"/>
  <c r="H53" i="4"/>
  <c r="H55" i="4"/>
  <c r="H56" i="4"/>
  <c r="H54" i="4"/>
  <c r="H57" i="4"/>
  <c r="H58" i="4"/>
  <c r="H59" i="4"/>
  <c r="H60" i="4"/>
  <c r="H61" i="4"/>
  <c r="H62" i="4"/>
  <c r="H63" i="4"/>
  <c r="H64" i="4"/>
  <c r="H130" i="4"/>
  <c r="H65" i="4"/>
  <c r="H66" i="4"/>
  <c r="H69" i="4"/>
  <c r="H70" i="4"/>
  <c r="H68" i="4"/>
  <c r="H71" i="4"/>
  <c r="H72" i="4"/>
  <c r="H144" i="4"/>
  <c r="H73" i="4"/>
  <c r="H76" i="4"/>
  <c r="H77" i="4"/>
  <c r="H75" i="4"/>
  <c r="H78" i="4"/>
  <c r="H79" i="4"/>
  <c r="H80" i="4"/>
  <c r="H81" i="4"/>
  <c r="H82" i="4"/>
  <c r="H86" i="4"/>
  <c r="H87" i="4"/>
  <c r="H83" i="4"/>
  <c r="H88" i="4"/>
  <c r="H89" i="4"/>
  <c r="H84" i="4"/>
  <c r="H90" i="4"/>
  <c r="H85" i="4"/>
  <c r="H91" i="4"/>
  <c r="H94" i="4"/>
  <c r="H95" i="4"/>
  <c r="H92" i="4"/>
  <c r="H93" i="4"/>
  <c r="H292" i="4"/>
  <c r="H97" i="4"/>
  <c r="H99" i="4"/>
  <c r="H98" i="4"/>
  <c r="H104" i="4"/>
  <c r="H105" i="4"/>
  <c r="H106" i="4"/>
  <c r="H103" i="4"/>
  <c r="H107" i="4"/>
  <c r="H166" i="4"/>
  <c r="H285" i="4"/>
  <c r="H100" i="4"/>
  <c r="H109" i="4"/>
  <c r="H108" i="4"/>
  <c r="H110" i="4"/>
  <c r="H113" i="4"/>
  <c r="H114" i="4"/>
  <c r="H111" i="4"/>
  <c r="H112" i="4"/>
  <c r="H222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1" i="4"/>
  <c r="H134" i="4"/>
  <c r="H220" i="4"/>
  <c r="H225" i="4"/>
  <c r="H132" i="4"/>
  <c r="H135" i="4"/>
  <c r="H136" i="4"/>
  <c r="H137" i="4"/>
  <c r="H138" i="4"/>
  <c r="H139" i="4"/>
  <c r="H140" i="4"/>
  <c r="H236" i="4"/>
  <c r="H141" i="4"/>
  <c r="H339" i="4"/>
  <c r="H142" i="4"/>
  <c r="H145" i="4"/>
  <c r="H146" i="4"/>
  <c r="H143" i="4"/>
  <c r="H151" i="4"/>
  <c r="H149" i="4"/>
  <c r="H150" i="4"/>
  <c r="H148" i="4"/>
  <c r="H152" i="4"/>
  <c r="H372" i="4"/>
  <c r="H155" i="4"/>
  <c r="H157" i="4"/>
  <c r="H153" i="4"/>
  <c r="H158" i="4"/>
  <c r="H159" i="4"/>
  <c r="H203" i="4"/>
  <c r="H154" i="4"/>
  <c r="H340" i="4"/>
  <c r="H167" i="4"/>
  <c r="H168" i="4"/>
  <c r="H162" i="4"/>
  <c r="H223" i="4"/>
  <c r="H163" i="4"/>
  <c r="H164" i="4"/>
  <c r="H165" i="4"/>
  <c r="H169" i="4"/>
  <c r="H170" i="4"/>
  <c r="H171" i="4"/>
  <c r="H172" i="4"/>
  <c r="H173" i="4"/>
  <c r="H178" i="4"/>
  <c r="H215" i="4"/>
  <c r="H174" i="4"/>
  <c r="H175" i="4"/>
  <c r="H176" i="4"/>
  <c r="H179" i="4"/>
  <c r="H147" i="4"/>
  <c r="H177" i="4"/>
  <c r="H183" i="4"/>
  <c r="H269" i="4"/>
  <c r="H275" i="4"/>
  <c r="H182" i="4"/>
  <c r="H184" i="4"/>
  <c r="H216" i="4"/>
  <c r="H185" i="4"/>
  <c r="H189" i="4"/>
  <c r="H191" i="4"/>
  <c r="H192" i="4"/>
  <c r="H190" i="4"/>
  <c r="H193" i="4"/>
  <c r="H194" i="4"/>
  <c r="H195" i="4"/>
  <c r="H196" i="4"/>
  <c r="H160" i="4"/>
  <c r="H197" i="4"/>
  <c r="H198" i="4"/>
  <c r="H364" i="4"/>
  <c r="H341" i="4"/>
  <c r="H199" i="4"/>
  <c r="H200" i="4"/>
  <c r="H201" i="4"/>
  <c r="H202" i="4"/>
  <c r="H206" i="4"/>
  <c r="H207" i="4"/>
  <c r="H208" i="4"/>
  <c r="H209" i="4"/>
  <c r="H210" i="4"/>
  <c r="H211" i="4"/>
  <c r="H212" i="4"/>
  <c r="H213" i="4"/>
  <c r="H217" i="4"/>
  <c r="H161" i="4"/>
  <c r="H180" i="4"/>
  <c r="H214" i="4"/>
  <c r="H181" i="4"/>
  <c r="H204" i="4"/>
  <c r="H224" i="4"/>
  <c r="H306" i="4"/>
  <c r="H282" i="4"/>
  <c r="H221" i="4"/>
  <c r="H373" i="4"/>
  <c r="H133" i="4"/>
  <c r="H186" i="4"/>
  <c r="H101" i="4"/>
  <c r="H226" i="4"/>
  <c r="H227" i="4"/>
  <c r="H228" i="4"/>
  <c r="H229" i="4"/>
  <c r="H232" i="4"/>
  <c r="H233" i="4"/>
  <c r="H234" i="4"/>
  <c r="H235" i="4"/>
  <c r="H115" i="4"/>
  <c r="H237" i="4"/>
  <c r="H74" i="4"/>
  <c r="H239" i="4"/>
  <c r="H244" i="4"/>
  <c r="H240" i="4"/>
  <c r="H241" i="4"/>
  <c r="H242" i="4"/>
  <c r="H243" i="4"/>
  <c r="H245" i="4"/>
  <c r="H246" i="4"/>
  <c r="H247" i="4"/>
  <c r="H248" i="4"/>
  <c r="H249" i="4"/>
  <c r="H254" i="4"/>
  <c r="H255" i="4"/>
  <c r="H250" i="4"/>
  <c r="H256" i="4"/>
  <c r="H251" i="4"/>
  <c r="H218" i="4"/>
  <c r="H8" i="4"/>
  <c r="H252" i="4"/>
  <c r="H253" i="4"/>
  <c r="H257" i="4"/>
  <c r="H260" i="4"/>
  <c r="H261" i="4"/>
  <c r="H205" i="4"/>
  <c r="H187" i="4"/>
  <c r="H265" i="4"/>
  <c r="H230" i="4"/>
  <c r="H262" i="4"/>
  <c r="H263" i="4"/>
  <c r="H264" i="4"/>
  <c r="H270" i="4"/>
  <c r="H271" i="4"/>
  <c r="H277" i="4"/>
  <c r="H272" i="4"/>
  <c r="H102" i="4"/>
  <c r="H273" i="4"/>
  <c r="H96" i="4"/>
  <c r="H274" i="4"/>
  <c r="H278" i="4"/>
  <c r="H279" i="4"/>
  <c r="H280" i="4"/>
  <c r="H266" i="4"/>
  <c r="H283" i="4"/>
  <c r="H281" i="4"/>
  <c r="H67" i="4"/>
  <c r="H238" i="4"/>
  <c r="H219" i="4"/>
  <c r="H288" i="4"/>
  <c r="H289" i="4"/>
  <c r="H290" i="4"/>
  <c r="H293" i="4"/>
  <c r="H291" i="4"/>
  <c r="H286" i="4"/>
  <c r="H294" i="4"/>
  <c r="H295" i="4"/>
  <c r="H296" i="4"/>
  <c r="H298" i="4"/>
  <c r="H188" i="4"/>
  <c r="H299" i="4"/>
  <c r="H300" i="4"/>
  <c r="H287" i="4"/>
  <c r="H297" i="4"/>
  <c r="H267" i="4"/>
  <c r="H302" i="4"/>
  <c r="H303" i="4"/>
  <c r="H301" i="4"/>
  <c r="H304" i="4"/>
  <c r="H305" i="4"/>
  <c r="H307" i="4"/>
  <c r="H308" i="4"/>
  <c r="H309" i="4"/>
  <c r="H316" i="4"/>
  <c r="H317" i="4"/>
  <c r="H231" i="4"/>
  <c r="H318" i="4"/>
  <c r="H310" i="4"/>
  <c r="H311" i="4"/>
  <c r="H312" i="4"/>
  <c r="H319" i="4"/>
  <c r="H313" i="4"/>
  <c r="H314" i="4"/>
  <c r="H320" i="4"/>
  <c r="H315" i="4"/>
  <c r="H322" i="4"/>
  <c r="H323" i="4"/>
  <c r="H326" i="4"/>
  <c r="H327" i="4"/>
  <c r="H328" i="4"/>
  <c r="H258" i="4"/>
  <c r="H329" i="4"/>
  <c r="H354" i="4"/>
  <c r="H324" i="4"/>
  <c r="H330" i="4"/>
  <c r="H325" i="4"/>
  <c r="H321" i="4"/>
  <c r="H342" i="4"/>
  <c r="H355" i="4"/>
  <c r="H331" i="4"/>
  <c r="H333" i="4"/>
  <c r="H334" i="4"/>
  <c r="H335" i="4"/>
  <c r="H336" i="4"/>
  <c r="H343" i="4"/>
  <c r="H344" i="4"/>
  <c r="H337" i="4"/>
  <c r="H338" i="4"/>
  <c r="H345" i="4"/>
  <c r="H346" i="4"/>
  <c r="H259" i="4"/>
  <c r="H348" i="4"/>
  <c r="H356" i="4"/>
  <c r="H357" i="4"/>
  <c r="H349" i="4"/>
  <c r="H350" i="4"/>
  <c r="H358" i="4"/>
  <c r="H276" i="4"/>
  <c r="H351" i="4"/>
  <c r="H352" i="4"/>
  <c r="H332" i="4"/>
  <c r="H353" i="4"/>
  <c r="H359" i="4"/>
  <c r="H360" i="4"/>
  <c r="H361" i="4"/>
  <c r="H362" i="4"/>
  <c r="H365" i="4"/>
  <c r="H268" i="4"/>
  <c r="H366" i="4"/>
  <c r="H363" i="4"/>
  <c r="H367" i="4"/>
  <c r="H368" i="4"/>
  <c r="H369" i="4"/>
  <c r="H347" i="4"/>
  <c r="H284" i="4"/>
  <c r="H370" i="4"/>
  <c r="H371" i="4"/>
  <c r="H374" i="4"/>
  <c r="H375" i="4"/>
  <c r="H389" i="4"/>
  <c r="H377" i="4"/>
  <c r="H376" i="4"/>
  <c r="H382" i="4"/>
  <c r="H378" i="4"/>
  <c r="H379" i="4"/>
  <c r="H380" i="4"/>
  <c r="H381" i="4"/>
  <c r="H384" i="4"/>
  <c r="H385" i="4"/>
  <c r="H383" i="4"/>
  <c r="H390" i="4"/>
  <c r="H391" i="4"/>
  <c r="H2" i="4"/>
  <c r="A177" i="7"/>
  <c r="A178" i="7"/>
  <c r="A179" i="7"/>
  <c r="A180" i="7"/>
  <c r="A181" i="7"/>
  <c r="A183" i="7"/>
  <c r="A184" i="7"/>
  <c r="A378" i="4"/>
  <c r="A379" i="4"/>
  <c r="A380" i="4"/>
  <c r="A381" i="4"/>
  <c r="A384" i="4"/>
  <c r="A385" i="4"/>
  <c r="A383" i="4"/>
  <c r="A390" i="4"/>
  <c r="A391" i="4"/>
  <c r="A174" i="7"/>
  <c r="A182" i="7"/>
  <c r="A175" i="7"/>
  <c r="A176" i="7"/>
  <c r="A169" i="7"/>
  <c r="A168" i="7"/>
  <c r="A170" i="7"/>
  <c r="A171" i="7"/>
  <c r="A172" i="7"/>
  <c r="A173" i="7"/>
  <c r="A375" i="4"/>
  <c r="A389" i="4"/>
  <c r="A377" i="4"/>
  <c r="A376" i="4"/>
  <c r="A382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233" i="7"/>
  <c r="A234" i="7"/>
  <c r="A235" i="7"/>
  <c r="A236" i="7"/>
  <c r="A237" i="7"/>
  <c r="A238" i="7"/>
  <c r="A23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8" i="4"/>
  <c r="A331" i="4"/>
  <c r="A329" i="4"/>
  <c r="A332" i="4"/>
  <c r="A324" i="4"/>
  <c r="A330" i="4"/>
  <c r="A325" i="4"/>
  <c r="A347" i="4"/>
  <c r="A342" i="4"/>
  <c r="A341" i="4"/>
  <c r="A339" i="4"/>
  <c r="A333" i="4"/>
  <c r="A334" i="4"/>
  <c r="A335" i="4"/>
  <c r="A336" i="4"/>
  <c r="A343" i="4"/>
  <c r="A344" i="4"/>
  <c r="A337" i="4"/>
  <c r="A338" i="4"/>
  <c r="A345" i="4"/>
  <c r="A346" i="4"/>
  <c r="A340" i="4"/>
  <c r="A348" i="4"/>
  <c r="A356" i="4"/>
  <c r="A354" i="4"/>
  <c r="A349" i="4"/>
  <c r="A350" i="4"/>
  <c r="A358" i="4"/>
  <c r="A355" i="4"/>
  <c r="A351" i="4"/>
  <c r="A352" i="4"/>
  <c r="A357" i="4"/>
  <c r="A353" i="4"/>
  <c r="A359" i="4"/>
  <c r="A360" i="4"/>
  <c r="A361" i="4"/>
  <c r="A362" i="4"/>
  <c r="A365" i="4"/>
  <c r="A364" i="4"/>
  <c r="A366" i="4"/>
  <c r="A363" i="4"/>
  <c r="A367" i="4"/>
  <c r="A368" i="4"/>
  <c r="A369" i="4"/>
  <c r="A372" i="4"/>
  <c r="A373" i="4"/>
  <c r="A370" i="4"/>
  <c r="A371" i="4"/>
  <c r="A374" i="4"/>
  <c r="A313" i="4"/>
  <c r="A314" i="4"/>
  <c r="A320" i="4"/>
  <c r="A315" i="4"/>
  <c r="A322" i="4"/>
  <c r="A323" i="4"/>
  <c r="A326" i="4"/>
  <c r="A327" i="4"/>
  <c r="A321" i="4"/>
  <c r="A318" i="4"/>
  <c r="A310" i="4"/>
  <c r="A311" i="4"/>
  <c r="A312" i="4"/>
  <c r="A319" i="4"/>
  <c r="A4" i="7"/>
  <c r="A3" i="7"/>
  <c r="A292" i="4"/>
  <c r="A302" i="4"/>
  <c r="A303" i="4"/>
  <c r="A306" i="4"/>
  <c r="A304" i="4"/>
  <c r="A305" i="4"/>
  <c r="A307" i="4"/>
  <c r="A308" i="4"/>
  <c r="A309" i="4"/>
  <c r="A316" i="4"/>
  <c r="A317" i="4"/>
  <c r="A299" i="4"/>
  <c r="A300" i="4"/>
  <c r="A293" i="4"/>
  <c r="A297" i="4"/>
  <c r="A289" i="4"/>
  <c r="A290" i="4"/>
  <c r="A287" i="4"/>
  <c r="A291" i="4"/>
  <c r="A286" i="4"/>
  <c r="A294" i="4"/>
  <c r="A295" i="4"/>
  <c r="A296" i="4"/>
  <c r="A298" i="4"/>
  <c r="A301" i="4"/>
  <c r="A277" i="4"/>
  <c r="A284" i="4"/>
  <c r="A285" i="4"/>
  <c r="A288" i="4"/>
  <c r="A263" i="4"/>
  <c r="A264" i="4"/>
  <c r="A257" i="4"/>
  <c r="A270" i="4"/>
  <c r="A271" i="4"/>
  <c r="A269" i="4"/>
  <c r="A272" i="4"/>
  <c r="A275" i="4"/>
  <c r="A273" i="4"/>
  <c r="A276" i="4"/>
  <c r="A274" i="4"/>
  <c r="A278" i="4"/>
  <c r="A279" i="4"/>
  <c r="A280" i="4"/>
  <c r="A282" i="4"/>
  <c r="A283" i="4"/>
  <c r="A281" i="4"/>
  <c r="A259" i="4"/>
  <c r="A252" i="4"/>
  <c r="A253" i="4"/>
  <c r="A260" i="4"/>
  <c r="A261" i="4"/>
  <c r="A268" i="4"/>
  <c r="A267" i="4"/>
  <c r="A265" i="4"/>
  <c r="A266" i="4"/>
  <c r="A262" i="4"/>
  <c r="A246" i="4"/>
  <c r="A247" i="4"/>
  <c r="A248" i="4"/>
  <c r="A249" i="4"/>
  <c r="A254" i="4"/>
  <c r="A255" i="4"/>
  <c r="A250" i="4"/>
  <c r="A256" i="4"/>
  <c r="A251" i="4"/>
  <c r="A258" i="4"/>
  <c r="A233" i="4"/>
  <c r="A234" i="4"/>
  <c r="A235" i="4"/>
  <c r="A236" i="4"/>
  <c r="A237" i="4"/>
  <c r="A238" i="4"/>
  <c r="A239" i="4"/>
  <c r="A244" i="4"/>
  <c r="A240" i="4"/>
  <c r="A241" i="4"/>
  <c r="A242" i="4"/>
  <c r="A243" i="4"/>
  <c r="A245" i="4"/>
  <c r="A221" i="4"/>
  <c r="A222" i="4"/>
  <c r="A227" i="4"/>
  <c r="A230" i="4"/>
  <c r="A231" i="4"/>
  <c r="A226" i="4"/>
  <c r="A225" i="4"/>
  <c r="A228" i="4"/>
  <c r="A229" i="4"/>
  <c r="A232" i="4"/>
  <c r="A219" i="4"/>
  <c r="A214" i="4"/>
  <c r="A215" i="4"/>
  <c r="A216" i="4"/>
  <c r="A224" i="4"/>
  <c r="A223" i="4"/>
  <c r="A220" i="4"/>
  <c r="A212" i="4"/>
  <c r="A213" i="4"/>
  <c r="A217" i="4"/>
  <c r="A218" i="4"/>
  <c r="A202" i="4"/>
  <c r="A206" i="4"/>
  <c r="A207" i="4"/>
  <c r="A208" i="4"/>
  <c r="A209" i="4"/>
  <c r="A210" i="4"/>
  <c r="A21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6" i="4"/>
  <c r="A37" i="4"/>
  <c r="A38" i="4"/>
  <c r="A33" i="4"/>
  <c r="A34" i="4"/>
  <c r="A35" i="4"/>
  <c r="A39" i="4"/>
  <c r="A40" i="4"/>
  <c r="A41" i="4"/>
  <c r="A42" i="4"/>
  <c r="A44" i="4"/>
  <c r="A43" i="4"/>
  <c r="A45" i="4"/>
  <c r="A47" i="4"/>
  <c r="A48" i="4"/>
  <c r="A49" i="4"/>
  <c r="A46" i="4"/>
  <c r="A50" i="4"/>
  <c r="A51" i="4"/>
  <c r="A52" i="4"/>
  <c r="A53" i="4"/>
  <c r="A55" i="4"/>
  <c r="A56" i="4"/>
  <c r="A54" i="4"/>
  <c r="A57" i="4"/>
  <c r="A58" i="4"/>
  <c r="A59" i="4"/>
  <c r="A60" i="4"/>
  <c r="A61" i="4"/>
  <c r="A62" i="4"/>
  <c r="A63" i="4"/>
  <c r="A64" i="4"/>
  <c r="A67" i="4"/>
  <c r="A65" i="4"/>
  <c r="A66" i="4"/>
  <c r="A69" i="4"/>
  <c r="A70" i="4"/>
  <c r="A68" i="4"/>
  <c r="A71" i="4"/>
  <c r="A72" i="4"/>
  <c r="A74" i="4"/>
  <c r="A73" i="4"/>
  <c r="A76" i="4"/>
  <c r="A77" i="4"/>
  <c r="A75" i="4"/>
  <c r="A78" i="4"/>
  <c r="A79" i="4"/>
  <c r="A80" i="4"/>
  <c r="A81" i="4"/>
  <c r="A82" i="4"/>
  <c r="A86" i="4"/>
  <c r="A87" i="4"/>
  <c r="A83" i="4"/>
  <c r="A88" i="4"/>
  <c r="A89" i="4"/>
  <c r="A84" i="4"/>
  <c r="A90" i="4"/>
  <c r="A85" i="4"/>
  <c r="A91" i="4"/>
  <c r="A94" i="4"/>
  <c r="A95" i="4"/>
  <c r="A92" i="4"/>
  <c r="A93" i="4"/>
  <c r="A96" i="4"/>
  <c r="A97" i="4"/>
  <c r="A99" i="4"/>
  <c r="A98" i="4"/>
  <c r="A104" i="4"/>
  <c r="A105" i="4"/>
  <c r="A106" i="4"/>
  <c r="A103" i="4"/>
  <c r="A107" i="4"/>
  <c r="A102" i="4"/>
  <c r="A101" i="4"/>
  <c r="A100" i="4"/>
  <c r="A109" i="4"/>
  <c r="A108" i="4"/>
  <c r="A110" i="4"/>
  <c r="A113" i="4"/>
  <c r="A114" i="4"/>
  <c r="A111" i="4"/>
  <c r="A112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1" i="4"/>
  <c r="A134" i="4"/>
  <c r="A130" i="4"/>
  <c r="A133" i="4"/>
  <c r="A132" i="4"/>
  <c r="A135" i="4"/>
  <c r="A136" i="4"/>
  <c r="A137" i="4"/>
  <c r="A138" i="4"/>
  <c r="A139" i="4"/>
  <c r="A140" i="4"/>
  <c r="A144" i="4"/>
  <c r="A141" i="4"/>
  <c r="A147" i="4"/>
  <c r="A142" i="4"/>
  <c r="A145" i="4"/>
  <c r="A146" i="4"/>
  <c r="A143" i="4"/>
  <c r="A151" i="4"/>
  <c r="A149" i="4"/>
  <c r="A150" i="4"/>
  <c r="A148" i="4"/>
  <c r="A152" i="4"/>
  <c r="A161" i="4"/>
  <c r="A155" i="4"/>
  <c r="A157" i="4"/>
  <c r="A153" i="4"/>
  <c r="A158" i="4"/>
  <c r="A159" i="4"/>
  <c r="A160" i="4"/>
  <c r="A154" i="4"/>
  <c r="A156" i="4"/>
  <c r="A167" i="4"/>
  <c r="A168" i="4"/>
  <c r="A162" i="4"/>
  <c r="A166" i="4"/>
  <c r="A163" i="4"/>
  <c r="A164" i="4"/>
  <c r="A165" i="4"/>
  <c r="A169" i="4"/>
  <c r="A170" i="4"/>
  <c r="A171" i="4"/>
  <c r="A172" i="4"/>
  <c r="A173" i="4"/>
  <c r="A178" i="4"/>
  <c r="A180" i="4"/>
  <c r="A174" i="4"/>
  <c r="A175" i="4"/>
  <c r="A176" i="4"/>
  <c r="A179" i="4"/>
  <c r="A181" i="4"/>
  <c r="A177" i="4"/>
  <c r="A183" i="4"/>
  <c r="A186" i="4"/>
  <c r="A187" i="4"/>
  <c r="A182" i="4"/>
  <c r="A184" i="4"/>
  <c r="A188" i="4"/>
  <c r="A185" i="4"/>
  <c r="A189" i="4"/>
  <c r="A191" i="4"/>
  <c r="A192" i="4"/>
  <c r="A190" i="4"/>
  <c r="A193" i="4"/>
  <c r="A194" i="4"/>
  <c r="A195" i="4"/>
  <c r="A196" i="4"/>
  <c r="A204" i="4"/>
  <c r="A197" i="4"/>
  <c r="A198" i="4"/>
  <c r="A205" i="4"/>
  <c r="A203" i="4"/>
  <c r="A199" i="4"/>
  <c r="A200" i="4"/>
  <c r="A201" i="4"/>
  <c r="A2" i="4"/>
</calcChain>
</file>

<file path=xl/sharedStrings.xml><?xml version="1.0" encoding="utf-8"?>
<sst xmlns="http://schemas.openxmlformats.org/spreadsheetml/2006/main" count="22230" uniqueCount="8711">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</sst>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51" totalsRowShown="0" headerRowDxfId="92" dataDxfId="91">
  <autoFilter ref="A1:R451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0">
      <calculatedColumnFormula>ROW()-1</calculatedColumnFormula>
    </tableColumn>
    <tableColumn id="13" xr3:uid="{86C56767-9BFE-4154-9FC1-CEA7C183815E}" name="APPLICATION NO." dataDxfId="89"/>
    <tableColumn id="2" xr3:uid="{6ABB4EDF-0F58-40D7-979C-D37D8D91A6BC}" name="CHASSIS" dataDxfId="88"/>
    <tableColumn id="17" xr3:uid="{0BBF5E4D-B8B0-4055-8D5F-3A6BB4D4A4DA}" name="ENGINE NO." dataDxfId="87"/>
    <tableColumn id="3" xr3:uid="{285CC4F4-4CD1-4FFC-A101-ED051DA40438}" name="NAME" dataDxfId="86"/>
    <tableColumn id="4" xr3:uid="{28DC8B59-EFA0-4502-86B0-033B0B60D615}" name="MODEL" dataDxfId="85"/>
    <tableColumn id="14" xr3:uid="{B25F5A6A-3B72-4772-B75C-D86670F35131}" name="COLOR" dataDxfId="84"/>
    <tableColumn id="15" xr3:uid="{22F5E9AE-FC4E-4EBD-ADBF-5C93F85B331F}" name="RTO" dataDxfId="83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2"/>
    <tableColumn id="6" xr3:uid="{9942893D-0703-456F-8072-CD136C7B4052}" name="DATE OF REG" dataDxfId="81"/>
    <tableColumn id="12" xr3:uid="{CC83ADC7-1924-4CE0-83FB-B2DFBEF7A193}" name="CONTACT" dataDxfId="80"/>
    <tableColumn id="7" xr3:uid="{3AD2B0D9-D7A5-46E0-B596-F6B7F1CDDEA6}" name="DSE" dataDxfId="79"/>
    <tableColumn id="8" xr3:uid="{475221AE-3FDC-4CED-B76C-4DA1DD4F8AD9}" name="RC RECEIVED BY" dataDxfId="78"/>
    <tableColumn id="9" xr3:uid="{F594ED7D-6966-47AC-A5C3-25754B73A3CC}" name="DATE" dataDxfId="77"/>
    <tableColumn id="10" xr3:uid="{452E3ECD-E927-4EC7-A8A2-4A866233750E}" name="FASTTAG" dataDxfId="76"/>
    <tableColumn id="11" xr3:uid="{CFEE5573-D700-4B26-B382-BCA8210C54C2}" name="DATED" dataDxfId="75"/>
    <tableColumn id="16" xr3:uid="{07363D0C-2FBE-403B-A617-BDB5768FAC43}" name="FT STATUS" dataDxfId="74"/>
    <tableColumn id="19" xr3:uid="{9456CF5E-F4D1-41FB-BAEA-332735A8583D}" name="REMARKS" dataDxfId="7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2" dataDxfId="70" headerRowBorderDxfId="71" tableBorderDxfId="69">
  <autoFilter ref="A1:U1475" xr:uid="{D370B51C-D08F-47BE-AAB1-EC19B1CB5D0A}"/>
  <tableColumns count="21">
    <tableColumn id="1" xr3:uid="{F2AB5776-2910-4922-8F7A-A29B241AFBFB}" name="S.NO" dataDxfId="68"/>
    <tableColumn id="2" xr3:uid="{BD6FD91D-E737-4D6A-B00A-D80EC1A61CA8}" name="DATE" dataDxfId="67"/>
    <tableColumn id="3" xr3:uid="{523BFE7D-9361-4DD0-92B3-69A6F8F0C3E9}" name="CUSTOMER NAME" dataDxfId="66"/>
    <tableColumn id="4" xr3:uid="{D470DE80-5E84-419F-ABF9-6269311CD45E}" name="MARUTI" dataDxfId="65"/>
    <tableColumn id="5" xr3:uid="{89C10B6F-C9EE-4AD2-A610-262BFCF29B4E}" name="MODEL OR VARIANT" dataDxfId="64"/>
    <tableColumn id="6" xr3:uid="{9CB69D3E-706F-4EED-A315-D5399BE00D5C}" name="RTO" dataDxfId="63"/>
    <tableColumn id="7" xr3:uid="{2FB81954-C8D6-43B3-92E2-574B07BBFCCB}" name="VEHICLE CLASS" dataDxfId="62"/>
    <tableColumn id="8" xr3:uid="{1892A735-1187-4E6C-8786-9B173567AAD2}" name="REG. NO" dataDxfId="61"/>
    <tableColumn id="9" xr3:uid="{AFB37B1C-50E7-42BE-BC49-27B4D7E4E829}" name="VIN" dataDxfId="60"/>
    <tableColumn id="10" xr3:uid="{A3569458-1056-4E90-B079-94E3430A5743}" name="APPLICATION NO." dataDxfId="59"/>
    <tableColumn id="11" xr3:uid="{E25E7D92-4EC4-485D-93B8-A15B0538604A}" name="RTO AMMOUNT " dataDxfId="58"/>
    <tableColumn id="12" xr3:uid="{DB89535A-8F36-4EF8-B62C-86ABB378F51F}" name="HSRP" dataDxfId="57"/>
    <tableColumn id="13" xr3:uid="{6BD25826-954F-49C4-BE9E-24422B1B85BE}" name="ACCOUNT" dataDxfId="56"/>
    <tableColumn id="14" xr3:uid="{974951AE-D99C-487A-9DB5-065DA8DD25D4}" name="RM NAME" dataDxfId="55"/>
    <tableColumn id="15" xr3:uid="{FA4014CD-BE60-4554-9D6D-C0CC54B2CA05}" name="PAYMENT MODE" dataDxfId="54"/>
    <tableColumn id="16" xr3:uid="{84C48B22-72C9-4BD7-86AD-D8ECD87C3A64}" name="FILE PUNCHED BY" dataDxfId="53"/>
    <tableColumn id="17" xr3:uid="{87E46E14-6F6C-41D4-BBF8-CEAFAFE4CA8F}" name="PAYMENT ID" dataDxfId="52"/>
    <tableColumn id="18" xr3:uid="{0F2CD467-C868-4769-B436-AE2A25413B52}" name="RC STATUS" dataDxfId="51"/>
    <tableColumn id="19" xr3:uid="{0A9FDBF9-6418-4F2B-8B46-BE05C8150A04}" name="RC GIVEN DATE" dataDxfId="50"/>
    <tableColumn id="20" xr3:uid="{3A50F2B6-47D6-4A09-AA43-188FC568EA57}" name="FASTTAG ISSUE" dataDxfId="49"/>
    <tableColumn id="21" xr3:uid="{E4802D5D-D65F-42D3-B57E-E27729185964}" name="FASTTAG ISSUE DATE 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4" totalsRowShown="0" headerRowDxfId="47" dataDxfId="46">
  <autoFilter ref="A2:H304" xr:uid="{B21CDF53-EB04-406A-8D52-FCF5CCB609E9}"/>
  <sortState xmlns:xlrd2="http://schemas.microsoft.com/office/spreadsheetml/2017/richdata2" ref="A3:H249">
    <sortCondition ref="D2:D249"/>
  </sortState>
  <tableColumns count="8">
    <tableColumn id="1" xr3:uid="{E7104F17-DBE3-4DF1-9933-FFCDDC61A4A1}" name="S.No." dataDxfId="45"/>
    <tableColumn id="11" xr3:uid="{7AA66E15-5D81-45A6-A480-BC2F7EFDEB4C}" name="Name" dataDxfId="44"/>
    <tableColumn id="10" xr3:uid="{DA1D923C-25B3-4F76-823C-435E6464FF55}" name="Contact" dataDxfId="43"/>
    <tableColumn id="2" xr3:uid="{5FEBD558-5EB7-4421-BA25-DCAC1134B168}" name="Barcode No." dataDxfId="42"/>
    <tableColumn id="12" xr3:uid="{77758C8B-F2C8-47C0-B104-570729F9693B}" name="Reg Num" dataDxfId="41"/>
    <tableColumn id="5" xr3:uid="{9AC97A3F-3009-4A59-ACCF-A178780E6F61}" name="Date" dataDxfId="40"/>
    <tableColumn id="7" xr3:uid="{82C8F4C5-8489-4228-83CC-0B9666328CDD}" name="CHANNEL" dataDxfId="39"/>
    <tableColumn id="8" xr3:uid="{DDF1FC61-A0D6-46E9-9515-6DDC5AB1E932}" name="Status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7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6"/>
    <tableColumn id="2" xr3:uid="{1E57C5CE-907A-4DF0-BCA2-BBCD2651216C}" name="APPLICATION NO." dataDxfId="35"/>
    <tableColumn id="3" xr3:uid="{F626713A-3C61-423D-BD37-451203C3E29C}" name="CHASSIS" dataDxfId="34"/>
    <tableColumn id="4" xr3:uid="{32C5A048-ADD8-4648-8106-9F20D6757D66}" name="NAME" dataDxfId="33"/>
    <tableColumn id="5" xr3:uid="{BA1FDE8E-99ED-4918-A545-B2E041B306D6}" name="MODEL" dataDxfId="32"/>
    <tableColumn id="6" xr3:uid="{872ECA2D-515D-4EDE-B60A-82A8BDEFEDCC}" name="COLOR" dataDxfId="31"/>
    <tableColumn id="7" xr3:uid="{C729A2AA-8F61-4959-9BE7-9F1BD3A49990}" name="RTO" dataDxfId="30"/>
    <tableColumn id="8" xr3:uid="{49CDED17-8118-4E4F-BBF5-6407D0788647}" name="REG NUM" dataDxfId="29"/>
    <tableColumn id="9" xr3:uid="{6E044422-F791-464A-944A-0668F0C8112F}" name="DATE OF REG" dataDxfId="28"/>
    <tableColumn id="11" xr3:uid="{942D52E6-8B19-4B1A-ADDF-6D959D8E7BE1}" name="DSE" dataDxfId="27"/>
    <tableColumn id="12" xr3:uid="{04B58679-3282-4D6D-BF3E-2233E3C4DC81}" name="RC RECEIVED BY" dataDxfId="2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5" tableBorderDxfId="24" totalsRowBorderDxfId="23">
  <autoFilter ref="B27:E32" xr:uid="{859DCBAE-920B-4469-9E0B-BF5ADC0248E9}"/>
  <tableColumns count="4">
    <tableColumn id="1" xr3:uid="{898528DA-B3AC-435C-B00C-9234887E5F11}" name="REG NUM" dataDxfId="22"/>
    <tableColumn id="2" xr3:uid="{89440296-A536-440E-A74B-186B5A98AE6C}" name="DATE OF REG" dataDxfId="21"/>
    <tableColumn id="3" xr3:uid="{7A04E3EB-93DA-4428-AB0C-3D251E144655}" name="RC RECEIVED BY" dataDxfId="20"/>
    <tableColumn id="4" xr3:uid="{0D350352-EB5F-413B-8CE6-3B46D80C3172}" name="DA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29"/>
  <sheetViews>
    <sheetView tabSelected="1" topLeftCell="A430" zoomScaleNormal="100" workbookViewId="0">
      <selection activeCell="B447" sqref="B447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33</v>
      </c>
      <c r="D34" s="47"/>
      <c r="E34" s="47" t="s">
        <v>34</v>
      </c>
      <c r="F34" s="47" t="s">
        <v>31</v>
      </c>
      <c r="G34" s="47"/>
      <c r="H34" s="47" t="str">
        <f t="shared" si="1"/>
        <v>KULGAM</v>
      </c>
      <c r="I34" s="47" t="s">
        <v>64</v>
      </c>
      <c r="J34" s="48">
        <v>45961</v>
      </c>
      <c r="K34" s="47"/>
      <c r="L34" s="47" t="s">
        <v>14</v>
      </c>
      <c r="M34" s="49"/>
      <c r="N34" s="48"/>
      <c r="O34" s="47" t="s">
        <v>23</v>
      </c>
      <c r="P34" s="50">
        <v>45962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68</v>
      </c>
      <c r="D35" s="47"/>
      <c r="E35" s="47" t="s">
        <v>69</v>
      </c>
      <c r="F35" s="47" t="s">
        <v>67</v>
      </c>
      <c r="G35" s="47"/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/>
      <c r="N35" s="48"/>
      <c r="O35" s="47" t="s">
        <v>23</v>
      </c>
      <c r="P35" s="50">
        <v>45961</v>
      </c>
      <c r="Q35" s="47"/>
      <c r="R35" s="47"/>
    </row>
    <row r="36" spans="1:18" x14ac:dyDescent="0.25">
      <c r="A36" s="47">
        <f t="shared" si="0"/>
        <v>35</v>
      </c>
      <c r="B36" s="47"/>
      <c r="C36" s="47" t="s">
        <v>35</v>
      </c>
      <c r="D36" s="47"/>
      <c r="E36" s="47" t="s">
        <v>36</v>
      </c>
      <c r="F36" s="47" t="s">
        <v>37</v>
      </c>
      <c r="G36" s="47"/>
      <c r="H36" s="47" t="str">
        <f t="shared" si="1"/>
        <v>ANANTNAG</v>
      </c>
      <c r="I36" s="47" t="s">
        <v>38</v>
      </c>
      <c r="J36" s="48">
        <v>45961</v>
      </c>
      <c r="K36" s="47"/>
      <c r="L36" s="47" t="s">
        <v>14</v>
      </c>
      <c r="M36" s="49" t="s">
        <v>14</v>
      </c>
      <c r="N36" s="48">
        <v>45966</v>
      </c>
      <c r="O36" s="48"/>
      <c r="P36" s="48"/>
      <c r="Q36" s="47"/>
      <c r="R36" s="47"/>
    </row>
    <row r="37" spans="1:18" x14ac:dyDescent="0.25">
      <c r="A37" s="47">
        <f t="shared" si="0"/>
        <v>36</v>
      </c>
      <c r="B37" s="47"/>
      <c r="C37" s="47" t="s">
        <v>143</v>
      </c>
      <c r="D37" s="47"/>
      <c r="E37" s="47" t="s">
        <v>144</v>
      </c>
      <c r="F37" s="47" t="s">
        <v>145</v>
      </c>
      <c r="G37" s="47"/>
      <c r="H37" s="47" t="str">
        <f t="shared" si="1"/>
        <v>BHARAT</v>
      </c>
      <c r="I37" s="47" t="s">
        <v>146</v>
      </c>
      <c r="J37" s="48">
        <v>45961</v>
      </c>
      <c r="K37" s="47"/>
      <c r="L37" s="47" t="s">
        <v>26</v>
      </c>
      <c r="M37" s="49" t="s">
        <v>26</v>
      </c>
      <c r="N37" s="48">
        <v>45966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 t="s">
        <v>6312</v>
      </c>
      <c r="C38" s="47" t="s">
        <v>68</v>
      </c>
      <c r="D38" s="47"/>
      <c r="E38" s="47" t="s">
        <v>69</v>
      </c>
      <c r="F38" s="47" t="s">
        <v>67</v>
      </c>
      <c r="G38" s="47" t="s">
        <v>200</v>
      </c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 t="s">
        <v>6417</v>
      </c>
      <c r="N38" s="48">
        <v>45973</v>
      </c>
      <c r="O38" s="47"/>
      <c r="P38" s="50"/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 t="s">
        <v>6380</v>
      </c>
      <c r="C43" s="47" t="s">
        <v>94</v>
      </c>
      <c r="D43" s="47"/>
      <c r="E43" s="47" t="s">
        <v>95</v>
      </c>
      <c r="F43" s="47" t="s">
        <v>100</v>
      </c>
      <c r="G43" s="47"/>
      <c r="H43" s="47" t="str">
        <f t="shared" si="1"/>
        <v>PULWAMA</v>
      </c>
      <c r="I43" s="47" t="s">
        <v>103</v>
      </c>
      <c r="J43" s="48">
        <v>45965</v>
      </c>
      <c r="K43" s="47"/>
      <c r="L43" s="47" t="s">
        <v>6451</v>
      </c>
      <c r="M43" s="49" t="s">
        <v>6450</v>
      </c>
      <c r="N43" s="48" t="s">
        <v>8243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 t="s">
        <v>200</v>
      </c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 t="s">
        <v>177</v>
      </c>
      <c r="C46" s="47" t="s">
        <v>155</v>
      </c>
      <c r="D46" s="47"/>
      <c r="E46" s="47" t="s">
        <v>156</v>
      </c>
      <c r="F46" s="47" t="s">
        <v>51</v>
      </c>
      <c r="G46" s="47" t="s">
        <v>174</v>
      </c>
      <c r="H46" s="47" t="str">
        <f t="shared" si="1"/>
        <v>PULWAMA</v>
      </c>
      <c r="I46" s="47" t="s">
        <v>157</v>
      </c>
      <c r="J46" s="48">
        <v>45966</v>
      </c>
      <c r="K46" s="47"/>
      <c r="L46" s="47" t="s">
        <v>6451</v>
      </c>
      <c r="M46" s="49" t="s">
        <v>7047</v>
      </c>
      <c r="N46" s="48">
        <v>46003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139</v>
      </c>
      <c r="D47" s="47"/>
      <c r="E47" s="47" t="s">
        <v>140</v>
      </c>
      <c r="F47" s="47" t="s">
        <v>31</v>
      </c>
      <c r="G47" s="47"/>
      <c r="H47" s="47" t="str">
        <f t="shared" si="1"/>
        <v>BUDGAM</v>
      </c>
      <c r="I47" s="47" t="s">
        <v>142</v>
      </c>
      <c r="J47" s="48">
        <v>45966</v>
      </c>
      <c r="K47" s="47"/>
      <c r="L47" s="47" t="s">
        <v>141</v>
      </c>
      <c r="M47" s="49" t="s">
        <v>160</v>
      </c>
      <c r="N47" s="48">
        <v>45966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/>
      <c r="C48" s="47" t="s">
        <v>135</v>
      </c>
      <c r="D48" s="47"/>
      <c r="E48" s="47" t="s">
        <v>136</v>
      </c>
      <c r="F48" s="47" t="s">
        <v>12</v>
      </c>
      <c r="G48" s="47"/>
      <c r="H48" s="47" t="str">
        <f t="shared" si="1"/>
        <v>KULGAM</v>
      </c>
      <c r="I48" s="47" t="s">
        <v>137</v>
      </c>
      <c r="J48" s="48">
        <v>45966</v>
      </c>
      <c r="K48" s="47"/>
      <c r="L48" s="47" t="s">
        <v>138</v>
      </c>
      <c r="M48" s="53"/>
      <c r="N48" s="48"/>
      <c r="P48" s="2"/>
      <c r="Q48" s="47"/>
      <c r="R48" s="47"/>
    </row>
    <row r="49" spans="1:18" x14ac:dyDescent="0.25">
      <c r="A49" s="47">
        <f t="shared" si="0"/>
        <v>48</v>
      </c>
      <c r="B49" s="47"/>
      <c r="C49" s="47" t="s">
        <v>131</v>
      </c>
      <c r="D49" s="47"/>
      <c r="E49" s="47" t="s">
        <v>133</v>
      </c>
      <c r="F49" s="47" t="s">
        <v>100</v>
      </c>
      <c r="G49" s="47"/>
      <c r="H49" s="47" t="str">
        <f t="shared" si="1"/>
        <v>BUDGAM</v>
      </c>
      <c r="I49" s="47" t="s">
        <v>154</v>
      </c>
      <c r="J49" s="48">
        <v>45966</v>
      </c>
      <c r="K49" s="47"/>
      <c r="L49" s="47" t="s">
        <v>176</v>
      </c>
      <c r="M49" s="49" t="s">
        <v>6452</v>
      </c>
      <c r="N49" s="48">
        <v>45976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198</v>
      </c>
      <c r="C54" s="47" t="s">
        <v>196</v>
      </c>
      <c r="D54" s="47"/>
      <c r="E54" s="47" t="s">
        <v>197</v>
      </c>
      <c r="F54" s="47" t="s">
        <v>12</v>
      </c>
      <c r="G54" s="47" t="s">
        <v>181</v>
      </c>
      <c r="H54" s="47" t="str">
        <f t="shared" si="1"/>
        <v>SRINAGAR</v>
      </c>
      <c r="I54" s="47" t="s">
        <v>202</v>
      </c>
      <c r="J54" s="48">
        <v>45968</v>
      </c>
      <c r="K54" s="47"/>
      <c r="L54" s="47" t="s">
        <v>106</v>
      </c>
      <c r="M54" s="47"/>
      <c r="N54" s="48"/>
      <c r="O54" s="47" t="s">
        <v>23</v>
      </c>
      <c r="P54" s="50">
        <v>45973</v>
      </c>
      <c r="Q54" s="47"/>
      <c r="R54" s="47"/>
    </row>
    <row r="55" spans="1:18" x14ac:dyDescent="0.25">
      <c r="A55" s="47">
        <f t="shared" si="0"/>
        <v>54</v>
      </c>
      <c r="B55" s="47" t="s">
        <v>191</v>
      </c>
      <c r="C55" s="47" t="s">
        <v>187</v>
      </c>
      <c r="D55" s="47"/>
      <c r="E55" s="47" t="s">
        <v>188</v>
      </c>
      <c r="F55" s="47" t="s">
        <v>31</v>
      </c>
      <c r="G55" s="47" t="s">
        <v>200</v>
      </c>
      <c r="H55" s="47" t="str">
        <f t="shared" si="1"/>
        <v>POONCH</v>
      </c>
      <c r="I55" s="47" t="s">
        <v>203</v>
      </c>
      <c r="J55" s="48">
        <v>45968</v>
      </c>
      <c r="K55" s="47"/>
      <c r="L55" s="47" t="s">
        <v>195</v>
      </c>
      <c r="M55" s="49" t="s">
        <v>232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192</v>
      </c>
      <c r="C56" s="47" t="s">
        <v>189</v>
      </c>
      <c r="D56" s="47"/>
      <c r="E56" s="47" t="s">
        <v>190</v>
      </c>
      <c r="F56" s="47" t="s">
        <v>193</v>
      </c>
      <c r="G56" s="47" t="s">
        <v>199</v>
      </c>
      <c r="H56" s="47" t="str">
        <f t="shared" si="1"/>
        <v>SRINAGAR</v>
      </c>
      <c r="I56" s="47" t="s">
        <v>201</v>
      </c>
      <c r="J56" s="48">
        <v>45968</v>
      </c>
      <c r="K56" s="47"/>
      <c r="L56" s="47" t="s">
        <v>194</v>
      </c>
      <c r="M56" s="49" t="s">
        <v>246</v>
      </c>
      <c r="N56" s="48">
        <v>45971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 t="s">
        <v>8661</v>
      </c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7615</v>
      </c>
      <c r="N60" s="48">
        <v>45983</v>
      </c>
      <c r="O60" s="47" t="s">
        <v>23</v>
      </c>
      <c r="P60" s="50">
        <v>46057</v>
      </c>
      <c r="Q60" s="47" t="s">
        <v>6460</v>
      </c>
      <c r="R60" s="47" t="s">
        <v>8657</v>
      </c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262</v>
      </c>
      <c r="C65" s="47" t="s">
        <v>265</v>
      </c>
      <c r="D65" s="47"/>
      <c r="E65" s="47" t="s">
        <v>266</v>
      </c>
      <c r="F65" s="47" t="s">
        <v>5</v>
      </c>
      <c r="G65" s="47" t="s">
        <v>199</v>
      </c>
      <c r="H65" s="47" t="str">
        <f t="shared" si="1"/>
        <v>SHOPIAN</v>
      </c>
      <c r="I65" s="47" t="s">
        <v>270</v>
      </c>
      <c r="J65" s="48">
        <v>45971</v>
      </c>
      <c r="K65" s="47"/>
      <c r="L65" s="47" t="s">
        <v>166</v>
      </c>
      <c r="M65" s="49" t="s">
        <v>6614</v>
      </c>
      <c r="N65" s="48">
        <v>45976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269</v>
      </c>
      <c r="C66" s="47" t="s">
        <v>267</v>
      </c>
      <c r="D66" s="47"/>
      <c r="E66" s="47" t="s">
        <v>268</v>
      </c>
      <c r="F66" s="47" t="s">
        <v>12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KULGAM</v>
      </c>
      <c r="I66" s="47" t="s">
        <v>271</v>
      </c>
      <c r="J66" s="48">
        <v>45971</v>
      </c>
      <c r="K66" s="47"/>
      <c r="L66" s="47" t="s">
        <v>8</v>
      </c>
      <c r="M66" s="49" t="s">
        <v>7088</v>
      </c>
      <c r="N66" s="48">
        <v>46004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261</v>
      </c>
      <c r="C67" s="47" t="s">
        <v>263</v>
      </c>
      <c r="D67" s="47"/>
      <c r="E67" s="47" t="s">
        <v>264</v>
      </c>
      <c r="F67" s="47" t="s">
        <v>5</v>
      </c>
      <c r="G67" s="47" t="s">
        <v>174</v>
      </c>
      <c r="H67" s="47" t="str">
        <f t="shared" si="3"/>
        <v>KULGAM</v>
      </c>
      <c r="I67" s="47" t="s">
        <v>6536</v>
      </c>
      <c r="J67" s="48">
        <v>45971</v>
      </c>
      <c r="K67" s="47">
        <v>7006687035</v>
      </c>
      <c r="L67" s="47" t="s">
        <v>26</v>
      </c>
      <c r="M67" s="49" t="s">
        <v>7821</v>
      </c>
      <c r="N67" s="48">
        <v>45985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299</v>
      </c>
      <c r="C68" s="47" t="s">
        <v>297</v>
      </c>
      <c r="D68" s="47"/>
      <c r="E68" s="47" t="s">
        <v>298</v>
      </c>
      <c r="F68" s="47" t="s">
        <v>119</v>
      </c>
      <c r="G68" s="47" t="s">
        <v>174</v>
      </c>
      <c r="H68" s="47" t="str">
        <f t="shared" si="3"/>
        <v>SHOPIAN</v>
      </c>
      <c r="I68" s="47" t="s">
        <v>314</v>
      </c>
      <c r="J68" s="48">
        <v>45972</v>
      </c>
      <c r="K68" s="47"/>
      <c r="L68" s="47" t="s">
        <v>306</v>
      </c>
      <c r="M68" s="49"/>
      <c r="N68" s="48"/>
      <c r="O68" s="47" t="s">
        <v>23</v>
      </c>
      <c r="P68" s="50">
        <v>45974</v>
      </c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285</v>
      </c>
      <c r="C70" s="47" t="s">
        <v>288</v>
      </c>
      <c r="D70" s="47"/>
      <c r="E70" s="47" t="s">
        <v>289</v>
      </c>
      <c r="F70" s="47" t="s">
        <v>290</v>
      </c>
      <c r="G70" s="47" t="s">
        <v>175</v>
      </c>
      <c r="H70" s="47" t="str">
        <f t="shared" si="3"/>
        <v>PULWAMA</v>
      </c>
      <c r="I70" s="47" t="s">
        <v>296</v>
      </c>
      <c r="J70" s="48">
        <v>45972</v>
      </c>
      <c r="K70" s="47"/>
      <c r="L70" s="47" t="s">
        <v>43</v>
      </c>
      <c r="M70" s="49" t="s">
        <v>6461</v>
      </c>
      <c r="N70" s="48">
        <v>45976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313</v>
      </c>
      <c r="C73" s="47" t="s">
        <v>312</v>
      </c>
      <c r="D73" s="47"/>
      <c r="E73" s="47" t="s">
        <v>311</v>
      </c>
      <c r="F73" s="47" t="s">
        <v>193</v>
      </c>
      <c r="G73" s="47" t="s">
        <v>200</v>
      </c>
      <c r="H73" s="47" t="str">
        <f t="shared" si="3"/>
        <v>PULWAMA</v>
      </c>
      <c r="I73" s="47" t="s">
        <v>317</v>
      </c>
      <c r="J73" s="48">
        <v>45972</v>
      </c>
      <c r="K73" s="47"/>
      <c r="L73" s="47" t="s">
        <v>321</v>
      </c>
      <c r="M73" s="49" t="s">
        <v>6447</v>
      </c>
      <c r="N73" s="48">
        <v>45975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308</v>
      </c>
      <c r="C74" s="47" t="s">
        <v>309</v>
      </c>
      <c r="D74" s="47"/>
      <c r="E74" s="47" t="s">
        <v>310</v>
      </c>
      <c r="F74" s="47" t="s">
        <v>31</v>
      </c>
      <c r="G74" s="47" t="s">
        <v>175</v>
      </c>
      <c r="H74" s="47" t="str">
        <f t="shared" si="3"/>
        <v>SRINAGAR</v>
      </c>
      <c r="I74" s="47" t="s">
        <v>316</v>
      </c>
      <c r="J74" s="48">
        <v>45972</v>
      </c>
      <c r="K74" s="47">
        <v>9906506594</v>
      </c>
      <c r="L74" s="47" t="s">
        <v>6451</v>
      </c>
      <c r="M74" s="49" t="s">
        <v>6548</v>
      </c>
      <c r="N74" s="48">
        <v>45981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6423</v>
      </c>
      <c r="C75" s="47" t="s">
        <v>6425</v>
      </c>
      <c r="D75" s="47"/>
      <c r="E75" s="47" t="s">
        <v>6424</v>
      </c>
      <c r="F75" s="47" t="s">
        <v>5</v>
      </c>
      <c r="G75" s="47" t="s">
        <v>200</v>
      </c>
      <c r="H75" s="47" t="str">
        <f t="shared" si="3"/>
        <v>POONCH</v>
      </c>
      <c r="I75" s="47" t="s">
        <v>6428</v>
      </c>
      <c r="J75" s="48">
        <v>45973</v>
      </c>
      <c r="K75" s="47"/>
      <c r="L75" s="47" t="s">
        <v>6427</v>
      </c>
      <c r="M75" s="49" t="s">
        <v>6447</v>
      </c>
      <c r="N75" s="48">
        <v>45975</v>
      </c>
      <c r="O75" s="47" t="s">
        <v>23</v>
      </c>
      <c r="P75" s="50">
        <v>45976</v>
      </c>
      <c r="Q75" s="47"/>
      <c r="R75" s="47"/>
    </row>
    <row r="76" spans="1:18" x14ac:dyDescent="0.25">
      <c r="A76" s="47">
        <f t="shared" si="2"/>
        <v>75</v>
      </c>
      <c r="B76" s="47" t="s">
        <v>318</v>
      </c>
      <c r="C76" s="47" t="s">
        <v>319</v>
      </c>
      <c r="D76" s="47"/>
      <c r="E76" s="47" t="s">
        <v>320</v>
      </c>
      <c r="F76" s="47" t="s">
        <v>5</v>
      </c>
      <c r="G76" s="47" t="s">
        <v>200</v>
      </c>
      <c r="H76" s="47" t="str">
        <f t="shared" si="3"/>
        <v>BUDGAM</v>
      </c>
      <c r="I76" s="47" t="s">
        <v>6415</v>
      </c>
      <c r="J76" s="48">
        <v>45973</v>
      </c>
      <c r="K76" s="47"/>
      <c r="L76" s="47" t="s">
        <v>26</v>
      </c>
      <c r="M76" s="49" t="s">
        <v>6430</v>
      </c>
      <c r="N76" s="48">
        <v>45974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 t="shared" si="3"/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2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6481</v>
      </c>
      <c r="C84" s="47" t="s">
        <v>6485</v>
      </c>
      <c r="D84" s="47"/>
      <c r="E84" s="47" t="s">
        <v>6486</v>
      </c>
      <c r="F84" s="47" t="s">
        <v>5</v>
      </c>
      <c r="G84" s="47" t="s">
        <v>199</v>
      </c>
      <c r="H84" s="47" t="str">
        <f t="shared" si="3"/>
        <v>ANANTNAG</v>
      </c>
      <c r="I84" s="47" t="s">
        <v>6495</v>
      </c>
      <c r="J84" s="48">
        <v>45978</v>
      </c>
      <c r="K84" s="47">
        <v>6005838461</v>
      </c>
      <c r="L84" s="47" t="s">
        <v>48</v>
      </c>
      <c r="M84" s="49"/>
      <c r="N84" s="48"/>
      <c r="O84" s="47" t="s">
        <v>23</v>
      </c>
      <c r="P84" s="50">
        <v>46018</v>
      </c>
      <c r="Q84" s="47" t="s">
        <v>6460</v>
      </c>
      <c r="R84" s="47"/>
    </row>
    <row r="85" spans="1:18" x14ac:dyDescent="0.25">
      <c r="A85" s="47">
        <f t="shared" si="2"/>
        <v>84</v>
      </c>
      <c r="B85" s="47" t="s">
        <v>6489</v>
      </c>
      <c r="C85" s="47" t="s">
        <v>6490</v>
      </c>
      <c r="D85" s="47"/>
      <c r="E85" s="47" t="s">
        <v>6491</v>
      </c>
      <c r="F85" s="47" t="s">
        <v>125</v>
      </c>
      <c r="G85" s="47" t="s">
        <v>6492</v>
      </c>
      <c r="H85" s="47" t="str">
        <f t="shared" si="3"/>
        <v>PULWAMA</v>
      </c>
      <c r="I85" s="47" t="s">
        <v>6496</v>
      </c>
      <c r="J85" s="48">
        <v>45978</v>
      </c>
      <c r="K85" s="47">
        <v>8899677753</v>
      </c>
      <c r="L85" s="47"/>
      <c r="M85" s="49" t="s">
        <v>6629</v>
      </c>
      <c r="N85" s="48">
        <v>45986</v>
      </c>
      <c r="O85" s="47" t="s">
        <v>23</v>
      </c>
      <c r="P85" s="50">
        <v>45986</v>
      </c>
      <c r="Q85" s="47" t="s">
        <v>6460</v>
      </c>
      <c r="R85" s="47"/>
    </row>
    <row r="86" spans="1:18" x14ac:dyDescent="0.25">
      <c r="A86" s="47">
        <f t="shared" si="2"/>
        <v>85</v>
      </c>
      <c r="B86" s="47" t="s">
        <v>6462</v>
      </c>
      <c r="C86" s="47" t="s">
        <v>6464</v>
      </c>
      <c r="D86" s="47"/>
      <c r="E86" s="47" t="s">
        <v>6465</v>
      </c>
      <c r="F86" s="47" t="s">
        <v>125</v>
      </c>
      <c r="G86" s="47" t="s">
        <v>200</v>
      </c>
      <c r="H86" s="47" t="str">
        <f t="shared" si="3"/>
        <v>POONCH</v>
      </c>
      <c r="I86" s="47" t="s">
        <v>6472</v>
      </c>
      <c r="J86" s="48">
        <v>45978</v>
      </c>
      <c r="K86" s="47">
        <v>7889743290</v>
      </c>
      <c r="L86" s="47" t="s">
        <v>195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6463</v>
      </c>
      <c r="C87" s="47" t="s">
        <v>6466</v>
      </c>
      <c r="D87" s="47"/>
      <c r="E87" s="47" t="s">
        <v>6467</v>
      </c>
      <c r="F87" s="47" t="s">
        <v>119</v>
      </c>
      <c r="G87" s="47" t="s">
        <v>200</v>
      </c>
      <c r="H87" s="47" t="str">
        <f t="shared" si="3"/>
        <v>SHOPIAN</v>
      </c>
      <c r="I87" s="47" t="s">
        <v>6477</v>
      </c>
      <c r="J87" s="48">
        <v>45978</v>
      </c>
      <c r="K87" s="47">
        <v>6006972935</v>
      </c>
      <c r="L87" s="47" t="s">
        <v>6468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 t="shared" si="3"/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6480</v>
      </c>
      <c r="C89" s="47" t="s">
        <v>6483</v>
      </c>
      <c r="D89" s="47"/>
      <c r="E89" s="47" t="s">
        <v>6484</v>
      </c>
      <c r="F89" s="47" t="s">
        <v>119</v>
      </c>
      <c r="G89" s="47" t="s">
        <v>200</v>
      </c>
      <c r="H89" s="47" t="str">
        <f t="shared" si="3"/>
        <v>ANANTNAG</v>
      </c>
      <c r="I89" s="47" t="s">
        <v>6493</v>
      </c>
      <c r="J89" s="48">
        <v>45978</v>
      </c>
      <c r="K89" s="47">
        <v>7889924708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6482</v>
      </c>
      <c r="C90" s="47" t="s">
        <v>6487</v>
      </c>
      <c r="D90" s="47"/>
      <c r="E90" s="47" t="s">
        <v>1289</v>
      </c>
      <c r="F90" s="47" t="s">
        <v>5</v>
      </c>
      <c r="G90" s="47" t="s">
        <v>199</v>
      </c>
      <c r="H90" s="47" t="str">
        <f t="shared" si="3"/>
        <v>ANANTNAG</v>
      </c>
      <c r="I90" s="47" t="s">
        <v>6494</v>
      </c>
      <c r="J90" s="48">
        <v>45978</v>
      </c>
      <c r="K90" s="47">
        <v>9622999002</v>
      </c>
      <c r="L90" s="47" t="s">
        <v>6488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 t="shared" si="2"/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 t="shared" si="2"/>
        <v>93</v>
      </c>
      <c r="B94" s="47" t="s">
        <v>6504</v>
      </c>
      <c r="C94" s="47" t="s">
        <v>6503</v>
      </c>
      <c r="D94" s="47"/>
      <c r="E94" s="47" t="s">
        <v>6502</v>
      </c>
      <c r="F94" s="47" t="s">
        <v>1264</v>
      </c>
      <c r="G94" s="47" t="s">
        <v>174</v>
      </c>
      <c r="H94" s="47" t="str">
        <f t="shared" si="3"/>
        <v>TEMP</v>
      </c>
      <c r="I94" s="47" t="s">
        <v>6505</v>
      </c>
      <c r="J94" s="48">
        <v>45979</v>
      </c>
      <c r="K94" s="47">
        <v>9419687942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 t="shared" si="3"/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 t="shared" si="2"/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 t="shared" si="3"/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6572</v>
      </c>
      <c r="C100" s="47" t="s">
        <v>6573</v>
      </c>
      <c r="D100" s="47"/>
      <c r="E100" s="47" t="s">
        <v>6571</v>
      </c>
      <c r="F100" s="47" t="s">
        <v>3130</v>
      </c>
      <c r="G100" s="47" t="s">
        <v>174</v>
      </c>
      <c r="H100" s="47" t="str">
        <f t="shared" si="3"/>
        <v>BARAMULLA</v>
      </c>
      <c r="I100" s="47" t="s">
        <v>6574</v>
      </c>
      <c r="J100" s="48">
        <v>45981</v>
      </c>
      <c r="K100" s="47">
        <v>9797300880</v>
      </c>
      <c r="L100" s="47" t="s">
        <v>3926</v>
      </c>
      <c r="M100" s="49"/>
      <c r="N100" s="48"/>
      <c r="O100" s="47" t="s">
        <v>23</v>
      </c>
      <c r="P100" s="50">
        <v>46011</v>
      </c>
      <c r="Q100" s="47" t="s">
        <v>6460</v>
      </c>
      <c r="R100" s="47"/>
    </row>
    <row r="101" spans="1:23" x14ac:dyDescent="0.25">
      <c r="A101" s="47">
        <f t="shared" si="2"/>
        <v>100</v>
      </c>
      <c r="B101" s="47" t="s">
        <v>6559</v>
      </c>
      <c r="C101" s="47" t="s">
        <v>6562</v>
      </c>
      <c r="D101" s="47"/>
      <c r="E101" s="47" t="s">
        <v>6563</v>
      </c>
      <c r="F101" s="47" t="s">
        <v>100</v>
      </c>
      <c r="G101" s="47" t="s">
        <v>200</v>
      </c>
      <c r="H101" s="47" t="str">
        <f t="shared" si="3"/>
        <v>SHOPIAN</v>
      </c>
      <c r="I101" s="47" t="s">
        <v>6566</v>
      </c>
      <c r="J101" s="48">
        <v>45981</v>
      </c>
      <c r="K101" s="47">
        <v>9906463872</v>
      </c>
      <c r="L101" s="47" t="s">
        <v>6570</v>
      </c>
      <c r="M101" s="49"/>
      <c r="N101" s="48"/>
      <c r="O101" s="47" t="s">
        <v>23</v>
      </c>
      <c r="P101" s="50">
        <v>45990</v>
      </c>
      <c r="Q101" s="47" t="s">
        <v>6460</v>
      </c>
      <c r="R101" s="47"/>
    </row>
    <row r="102" spans="1:23" x14ac:dyDescent="0.25">
      <c r="A102" s="47">
        <f t="shared" si="2"/>
        <v>101</v>
      </c>
      <c r="B102" s="47" t="s">
        <v>6557</v>
      </c>
      <c r="C102" s="47" t="s">
        <v>6560</v>
      </c>
      <c r="D102" s="47"/>
      <c r="E102" s="47" t="s">
        <v>6561</v>
      </c>
      <c r="F102" s="47" t="s">
        <v>125</v>
      </c>
      <c r="G102" s="47" t="s">
        <v>175</v>
      </c>
      <c r="H102" s="47" t="str">
        <f t="shared" si="3"/>
        <v>PULWAMA</v>
      </c>
      <c r="I102" s="47" t="s">
        <v>6564</v>
      </c>
      <c r="J102" s="48">
        <v>45981</v>
      </c>
      <c r="K102" s="47">
        <v>9906121652</v>
      </c>
      <c r="L102" s="47" t="s">
        <v>6521</v>
      </c>
      <c r="M102" s="49" t="s">
        <v>6629</v>
      </c>
      <c r="N102" s="48">
        <v>45986</v>
      </c>
      <c r="O102" s="47" t="s">
        <v>23</v>
      </c>
      <c r="P102" s="50">
        <v>45986</v>
      </c>
      <c r="Q102" s="47" t="s">
        <v>6460</v>
      </c>
      <c r="R102" s="47"/>
    </row>
    <row r="103" spans="1:23" x14ac:dyDescent="0.25">
      <c r="A103" s="47">
        <f t="shared" si="2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6542</v>
      </c>
      <c r="C104" s="47" t="s">
        <v>6543</v>
      </c>
      <c r="D104" s="47"/>
      <c r="E104" s="47" t="s">
        <v>3015</v>
      </c>
      <c r="F104" s="47" t="s">
        <v>119</v>
      </c>
      <c r="G104" s="47" t="s">
        <v>174</v>
      </c>
      <c r="H104" s="47" t="str">
        <f t="shared" si="3"/>
        <v>BUDGAM</v>
      </c>
      <c r="I104" s="47" t="s">
        <v>6567</v>
      </c>
      <c r="J104" s="48">
        <v>45981</v>
      </c>
      <c r="K104" s="47">
        <v>6005783340</v>
      </c>
      <c r="L104" s="47" t="s">
        <v>2172</v>
      </c>
      <c r="M104" s="49" t="s">
        <v>7714</v>
      </c>
      <c r="N104" s="48">
        <v>46020</v>
      </c>
      <c r="O104" s="47"/>
      <c r="P104" s="50"/>
      <c r="Q104" s="47"/>
      <c r="R104" s="47"/>
    </row>
    <row r="105" spans="1:23" x14ac:dyDescent="0.25">
      <c r="A105" s="47">
        <f t="shared" si="2"/>
        <v>104</v>
      </c>
      <c r="B105" s="47" t="s">
        <v>6547</v>
      </c>
      <c r="C105" s="47" t="s">
        <v>6544</v>
      </c>
      <c r="D105" s="47"/>
      <c r="E105" s="47" t="s">
        <v>6545</v>
      </c>
      <c r="F105" s="47" t="s">
        <v>6546</v>
      </c>
      <c r="G105" s="47" t="s">
        <v>6475</v>
      </c>
      <c r="H105" s="47" t="str">
        <f t="shared" si="3"/>
        <v>SRINAGAR</v>
      </c>
      <c r="I105" s="47" t="s">
        <v>6568</v>
      </c>
      <c r="J105" s="48">
        <v>45981</v>
      </c>
      <c r="K105" s="47">
        <v>9541333565</v>
      </c>
      <c r="L105" s="47" t="s">
        <v>43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6558</v>
      </c>
      <c r="C106" s="47" t="s">
        <v>6549</v>
      </c>
      <c r="D106" s="47"/>
      <c r="E106" s="47" t="s">
        <v>6550</v>
      </c>
      <c r="F106" s="47" t="s">
        <v>119</v>
      </c>
      <c r="G106" s="47" t="s">
        <v>174</v>
      </c>
      <c r="H106" s="47" t="str">
        <f t="shared" si="3"/>
        <v>PULWAMA</v>
      </c>
      <c r="I106" s="47" t="s">
        <v>6565</v>
      </c>
      <c r="J106" s="48">
        <v>45981</v>
      </c>
      <c r="K106" s="47">
        <v>9596342820</v>
      </c>
      <c r="L106" s="47" t="s">
        <v>166</v>
      </c>
      <c r="M106" s="49"/>
      <c r="N106" s="48"/>
      <c r="O106" s="47"/>
      <c r="P106" s="50"/>
      <c r="Q106" s="47"/>
      <c r="R106" s="47"/>
    </row>
    <row r="107" spans="1:23" x14ac:dyDescent="0.25">
      <c r="A107" s="47">
        <f t="shared" si="2"/>
        <v>106</v>
      </c>
      <c r="B107" s="47" t="s">
        <v>6552</v>
      </c>
      <c r="C107" s="47" t="s">
        <v>6555</v>
      </c>
      <c r="D107" s="47"/>
      <c r="E107" s="47" t="s">
        <v>6556</v>
      </c>
      <c r="F107" s="47" t="s">
        <v>100</v>
      </c>
      <c r="G107" s="47" t="s">
        <v>181</v>
      </c>
      <c r="H107" s="47" t="str">
        <f t="shared" si="3"/>
        <v>SRINAGAR</v>
      </c>
      <c r="I107" s="47" t="s">
        <v>6569</v>
      </c>
      <c r="J107" s="48">
        <v>45981</v>
      </c>
      <c r="K107" s="47">
        <v>9419081122</v>
      </c>
      <c r="L107" s="47" t="s">
        <v>176</v>
      </c>
      <c r="M107" s="53"/>
      <c r="N107" s="3"/>
      <c r="P107" s="2"/>
      <c r="Q107" s="47"/>
      <c r="R107" s="47"/>
    </row>
    <row r="108" spans="1:23" x14ac:dyDescent="0.25">
      <c r="A108" s="47">
        <f t="shared" si="2"/>
        <v>107</v>
      </c>
      <c r="B108" s="47" t="s">
        <v>6581</v>
      </c>
      <c r="C108" s="47" t="s">
        <v>6578</v>
      </c>
      <c r="D108" s="47" t="s">
        <v>6710</v>
      </c>
      <c r="E108" s="47" t="s">
        <v>6579</v>
      </c>
      <c r="F108" s="47" t="s">
        <v>119</v>
      </c>
      <c r="G108" s="47" t="s">
        <v>175</v>
      </c>
      <c r="H108" s="47" t="str">
        <f t="shared" si="3"/>
        <v>PULWAMA</v>
      </c>
      <c r="I108" s="47" t="s">
        <v>6583</v>
      </c>
      <c r="J108" s="48">
        <v>45982</v>
      </c>
      <c r="K108" s="47">
        <v>8825052137</v>
      </c>
      <c r="L108" s="47" t="s">
        <v>6580</v>
      </c>
      <c r="M108" s="49"/>
      <c r="N108" s="48"/>
      <c r="O108" s="47" t="s">
        <v>23</v>
      </c>
      <c r="P108" s="50">
        <v>45990</v>
      </c>
      <c r="Q108" s="47" t="s">
        <v>6460</v>
      </c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6593</v>
      </c>
      <c r="C111" s="47" t="s">
        <v>6598</v>
      </c>
      <c r="D111" s="47"/>
      <c r="E111" s="47" t="s">
        <v>6220</v>
      </c>
      <c r="F111" s="47" t="s">
        <v>6597</v>
      </c>
      <c r="G111" s="47" t="s">
        <v>200</v>
      </c>
      <c r="H111" s="47" t="str">
        <f t="shared" si="3"/>
        <v>SHOPIAN</v>
      </c>
      <c r="I111" s="47" t="s">
        <v>6602</v>
      </c>
      <c r="J111" s="48">
        <v>45983</v>
      </c>
      <c r="K111" s="47">
        <v>8825050044</v>
      </c>
      <c r="L111" s="47" t="s">
        <v>6580</v>
      </c>
      <c r="M111" s="49"/>
      <c r="N111" s="48"/>
      <c r="O111" s="47" t="s">
        <v>23</v>
      </c>
      <c r="P111" s="50">
        <v>45990</v>
      </c>
      <c r="Q111" s="47" t="s">
        <v>6460</v>
      </c>
      <c r="R111" s="47"/>
    </row>
    <row r="112" spans="1:23" x14ac:dyDescent="0.25">
      <c r="A112" s="47">
        <f t="shared" si="2"/>
        <v>111</v>
      </c>
      <c r="B112" s="47" t="s">
        <v>6594</v>
      </c>
      <c r="C112" s="47" t="s">
        <v>6596</v>
      </c>
      <c r="D112" s="47"/>
      <c r="E112" s="47" t="s">
        <v>6595</v>
      </c>
      <c r="F112" s="47" t="s">
        <v>12</v>
      </c>
      <c r="G112" s="47" t="s">
        <v>174</v>
      </c>
      <c r="H112" s="47" t="str">
        <f t="shared" si="3"/>
        <v>SHOPIAN</v>
      </c>
      <c r="I112" s="47" t="s">
        <v>6601</v>
      </c>
      <c r="J112" s="48">
        <v>45983</v>
      </c>
      <c r="K112" s="47">
        <v>7006164327</v>
      </c>
      <c r="L112" s="47" t="s">
        <v>6580</v>
      </c>
      <c r="M112" s="49"/>
      <c r="N112" s="48"/>
      <c r="O112" s="47" t="s">
        <v>23</v>
      </c>
      <c r="P112" s="50">
        <v>45990</v>
      </c>
      <c r="Q112" s="47" t="s">
        <v>6460</v>
      </c>
      <c r="R112" s="47"/>
    </row>
    <row r="113" spans="1:18" x14ac:dyDescent="0.25">
      <c r="A113" s="47">
        <f t="shared" si="2"/>
        <v>112</v>
      </c>
      <c r="B113" s="47" t="s">
        <v>6587</v>
      </c>
      <c r="C113" s="47" t="s">
        <v>6588</v>
      </c>
      <c r="D113" s="47"/>
      <c r="E113" s="47" t="s">
        <v>6589</v>
      </c>
      <c r="F113" s="47" t="s">
        <v>100</v>
      </c>
      <c r="G113" s="47" t="s">
        <v>200</v>
      </c>
      <c r="H113" s="47" t="str">
        <f t="shared" si="3"/>
        <v>ANANTNAG</v>
      </c>
      <c r="I113" s="47" t="s">
        <v>6599</v>
      </c>
      <c r="J113" s="48">
        <v>45983</v>
      </c>
      <c r="K113" s="47">
        <v>9622477236</v>
      </c>
      <c r="L113" s="47" t="s">
        <v>166</v>
      </c>
      <c r="M113" s="49" t="s">
        <v>7453</v>
      </c>
      <c r="N113" s="48">
        <v>46018</v>
      </c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6592</v>
      </c>
      <c r="C114" s="47" t="s">
        <v>6590</v>
      </c>
      <c r="D114" s="47"/>
      <c r="E114" s="47" t="s">
        <v>6591</v>
      </c>
      <c r="F114" s="47" t="s">
        <v>12</v>
      </c>
      <c r="G114" s="47" t="s">
        <v>200</v>
      </c>
      <c r="H114" s="47" t="str">
        <f t="shared" si="3"/>
        <v>PULWAMA</v>
      </c>
      <c r="I114" s="47" t="s">
        <v>6600</v>
      </c>
      <c r="J114" s="48">
        <v>45983</v>
      </c>
      <c r="K114" s="47">
        <v>7006792378</v>
      </c>
      <c r="L114" s="47" t="s">
        <v>70</v>
      </c>
      <c r="M114" s="49"/>
      <c r="N114" s="48"/>
      <c r="O114" s="47"/>
      <c r="P114" s="50"/>
      <c r="Q114" s="47"/>
      <c r="R114" s="47"/>
    </row>
    <row r="115" spans="1:18" x14ac:dyDescent="0.25">
      <c r="A115" s="47">
        <f t="shared" si="2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3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6927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2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2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6733</v>
      </c>
      <c r="C130" s="47" t="s">
        <v>6731</v>
      </c>
      <c r="D130" s="47" t="s">
        <v>6732</v>
      </c>
      <c r="E130" s="47" t="s">
        <v>6730</v>
      </c>
      <c r="F130" s="47" t="s">
        <v>31</v>
      </c>
      <c r="G130" s="47" t="s">
        <v>199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6741</v>
      </c>
      <c r="J130" s="48">
        <v>45994</v>
      </c>
      <c r="K130" s="47">
        <v>9622839355</v>
      </c>
      <c r="L130" s="47" t="s">
        <v>26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6718</v>
      </c>
      <c r="C131" s="47" t="s">
        <v>6716</v>
      </c>
      <c r="D131" s="47" t="s">
        <v>6717</v>
      </c>
      <c r="E131" s="47" t="s">
        <v>4399</v>
      </c>
      <c r="F131" s="47" t="s">
        <v>5</v>
      </c>
      <c r="G131" s="47" t="s">
        <v>200</v>
      </c>
      <c r="H131" s="47" t="str">
        <f t="shared" si="5"/>
        <v>SRINAGAR</v>
      </c>
      <c r="I131" s="47" t="s">
        <v>6728</v>
      </c>
      <c r="J131" s="48">
        <v>45994</v>
      </c>
      <c r="K131" s="47">
        <v>9622609564</v>
      </c>
      <c r="L131" s="47" t="s">
        <v>106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6738</v>
      </c>
      <c r="C132" s="47" t="s">
        <v>6739</v>
      </c>
      <c r="D132" s="47" t="s">
        <v>6743</v>
      </c>
      <c r="E132" s="47" t="s">
        <v>6626</v>
      </c>
      <c r="F132" s="47" t="s">
        <v>37</v>
      </c>
      <c r="G132" s="47" t="s">
        <v>199</v>
      </c>
      <c r="H132" s="47" t="str">
        <f t="shared" si="5"/>
        <v>PULWAMA</v>
      </c>
      <c r="I132" s="47" t="s">
        <v>6740</v>
      </c>
      <c r="J132" s="48">
        <v>45994</v>
      </c>
      <c r="K132" s="47">
        <v>9906454751</v>
      </c>
      <c r="L132" s="47" t="s">
        <v>307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5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 t="shared" si="5"/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4"/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 t="shared" si="5"/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4"/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 t="shared" si="5"/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 t="shared" si="5"/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 t="shared" si="5"/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6781</v>
      </c>
      <c r="C140" s="47" t="s">
        <v>6782</v>
      </c>
      <c r="D140" s="47" t="s">
        <v>6783</v>
      </c>
      <c r="E140" s="47" t="s">
        <v>3590</v>
      </c>
      <c r="F140" s="47" t="s">
        <v>125</v>
      </c>
      <c r="G140" s="47" t="s">
        <v>200</v>
      </c>
      <c r="H140" s="47" t="str">
        <f t="shared" si="5"/>
        <v>PULWAMA</v>
      </c>
      <c r="I140" s="47" t="s">
        <v>6788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6792</v>
      </c>
      <c r="C141" s="47" t="s">
        <v>6789</v>
      </c>
      <c r="D141" s="47" t="s">
        <v>6790</v>
      </c>
      <c r="E141" s="47" t="s">
        <v>6791</v>
      </c>
      <c r="F141" s="47" t="s">
        <v>5</v>
      </c>
      <c r="G141" s="47" t="s">
        <v>199</v>
      </c>
      <c r="H141" s="47" t="str">
        <f t="shared" si="5"/>
        <v>BUDGAM</v>
      </c>
      <c r="I141" s="47" t="s">
        <v>6794</v>
      </c>
      <c r="J141" s="48">
        <v>45996</v>
      </c>
      <c r="K141" s="47">
        <v>7006748463</v>
      </c>
      <c r="L141" s="47" t="s">
        <v>2172</v>
      </c>
      <c r="M141" s="49"/>
      <c r="N141" s="48"/>
      <c r="O141" s="47" t="s">
        <v>23</v>
      </c>
      <c r="P141" s="50">
        <v>45996</v>
      </c>
      <c r="Q141" s="47" t="s">
        <v>6460</v>
      </c>
      <c r="R141" s="47"/>
    </row>
    <row r="142" spans="1:18" x14ac:dyDescent="0.25">
      <c r="A142" s="47">
        <f t="shared" si="4"/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6813</v>
      </c>
      <c r="C143" s="47" t="s">
        <v>6814</v>
      </c>
      <c r="D143" s="47" t="s">
        <v>6815</v>
      </c>
      <c r="E143" s="47" t="s">
        <v>6816</v>
      </c>
      <c r="F143" s="47" t="s">
        <v>5</v>
      </c>
      <c r="G143" s="47" t="s">
        <v>181</v>
      </c>
      <c r="H143" s="47" t="str">
        <f t="shared" si="5"/>
        <v>SRINAGAR</v>
      </c>
      <c r="I143" s="47" t="s">
        <v>6821</v>
      </c>
      <c r="J143" s="48">
        <v>45996</v>
      </c>
      <c r="K143" s="47">
        <v>8493043123</v>
      </c>
      <c r="L143" s="47" t="s">
        <v>194</v>
      </c>
      <c r="M143" s="49" t="s">
        <v>6850</v>
      </c>
      <c r="N143" s="48">
        <v>46000</v>
      </c>
      <c r="O143" s="47" t="s">
        <v>23</v>
      </c>
      <c r="P143" s="50">
        <v>46000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6784</v>
      </c>
      <c r="C144" s="47" t="s">
        <v>6785</v>
      </c>
      <c r="D144" s="47" t="s">
        <v>6786</v>
      </c>
      <c r="E144" s="47" t="s">
        <v>6787</v>
      </c>
      <c r="F144" s="47" t="s">
        <v>5</v>
      </c>
      <c r="G144" s="47" t="s">
        <v>226</v>
      </c>
      <c r="H144" s="47" t="str">
        <f t="shared" si="5"/>
        <v>SRINAGAR</v>
      </c>
      <c r="I144" s="47" t="s">
        <v>6793</v>
      </c>
      <c r="J144" s="48">
        <v>45996</v>
      </c>
      <c r="K144" s="47">
        <v>9419032294</v>
      </c>
      <c r="L144" s="47" t="s">
        <v>6451</v>
      </c>
      <c r="M144" s="49" t="s">
        <v>8239</v>
      </c>
      <c r="N144" s="48">
        <v>46032</v>
      </c>
      <c r="O144" s="47"/>
      <c r="P144" s="50"/>
      <c r="Q144" s="47"/>
      <c r="R144" s="47" t="s">
        <v>6856</v>
      </c>
    </row>
    <row r="145" spans="1:18" x14ac:dyDescent="0.25">
      <c r="A145" s="47">
        <f t="shared" si="4"/>
        <v>144</v>
      </c>
      <c r="B145" s="47" t="s">
        <v>6812</v>
      </c>
      <c r="C145" s="47" t="s">
        <v>6805</v>
      </c>
      <c r="D145" s="47" t="s">
        <v>6806</v>
      </c>
      <c r="E145" s="47" t="s">
        <v>3676</v>
      </c>
      <c r="F145" s="47" t="s">
        <v>5</v>
      </c>
      <c r="G145" s="47" t="s">
        <v>199</v>
      </c>
      <c r="H145" s="47" t="str">
        <f t="shared" si="5"/>
        <v>PULWAMA</v>
      </c>
      <c r="I145" s="47" t="s">
        <v>6818</v>
      </c>
      <c r="J145" s="48">
        <v>45996</v>
      </c>
      <c r="K145" s="47">
        <v>6005402097</v>
      </c>
      <c r="L145" s="47" t="s">
        <v>6807</v>
      </c>
      <c r="M145" s="49" t="s">
        <v>7672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6811</v>
      </c>
      <c r="C146" s="47" t="s">
        <v>6808</v>
      </c>
      <c r="D146" s="47" t="s">
        <v>6809</v>
      </c>
      <c r="E146" s="47" t="s">
        <v>3940</v>
      </c>
      <c r="F146" s="47" t="s">
        <v>290</v>
      </c>
      <c r="G146" s="47" t="s">
        <v>174</v>
      </c>
      <c r="H146" s="47" t="str">
        <f t="shared" si="5"/>
        <v>KUPWARA</v>
      </c>
      <c r="I146" s="47" t="s">
        <v>6817</v>
      </c>
      <c r="J146" s="48">
        <v>45996</v>
      </c>
      <c r="K146" s="47">
        <v>7006699059</v>
      </c>
      <c r="L146" s="47" t="s">
        <v>6810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6840</v>
      </c>
      <c r="C148" s="47" t="s">
        <v>6837</v>
      </c>
      <c r="D148" s="47" t="s">
        <v>6838</v>
      </c>
      <c r="E148" s="47" t="s">
        <v>6839</v>
      </c>
      <c r="F148" s="47" t="s">
        <v>119</v>
      </c>
      <c r="G148" s="47" t="s">
        <v>200</v>
      </c>
      <c r="H148" s="47" t="str">
        <f t="shared" si="5"/>
        <v>PULWAMA</v>
      </c>
      <c r="I148" s="47" t="s">
        <v>6847</v>
      </c>
      <c r="J148" s="48">
        <v>45997</v>
      </c>
      <c r="K148" s="47">
        <v>9682362746</v>
      </c>
      <c r="L148" s="47" t="s">
        <v>26</v>
      </c>
      <c r="M148" s="49" t="s">
        <v>6947</v>
      </c>
      <c r="N148" s="48">
        <v>46001</v>
      </c>
      <c r="O148" s="51">
        <v>46001</v>
      </c>
      <c r="P148" s="50">
        <v>46001</v>
      </c>
      <c r="Q148" s="47" t="s">
        <v>6460</v>
      </c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 t="shared" si="5"/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6825</v>
      </c>
      <c r="C151" s="47" t="s">
        <v>6822</v>
      </c>
      <c r="D151" s="47" t="s">
        <v>6823</v>
      </c>
      <c r="E151" s="47" t="s">
        <v>6824</v>
      </c>
      <c r="F151" s="47" t="s">
        <v>5</v>
      </c>
      <c r="G151" s="47" t="s">
        <v>199</v>
      </c>
      <c r="H151" s="47" t="str">
        <f t="shared" si="5"/>
        <v>SHOPIAN</v>
      </c>
      <c r="I151" s="47" t="s">
        <v>6842</v>
      </c>
      <c r="J151" s="48">
        <v>45997</v>
      </c>
      <c r="K151" s="47">
        <v>7006819575</v>
      </c>
      <c r="L151" s="47" t="s">
        <v>6761</v>
      </c>
      <c r="M151" s="49" t="s">
        <v>7151</v>
      </c>
      <c r="N151" s="48">
        <v>46007</v>
      </c>
      <c r="O151" s="47"/>
      <c r="P151" s="50"/>
      <c r="Q151" s="47"/>
      <c r="R151" s="47"/>
    </row>
    <row r="152" spans="1:18" x14ac:dyDescent="0.25">
      <c r="A152" s="47">
        <f t="shared" si="4"/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 t="shared" si="5"/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6865</v>
      </c>
      <c r="C153" s="47" t="s">
        <v>6863</v>
      </c>
      <c r="D153" s="47" t="s">
        <v>6866</v>
      </c>
      <c r="E153" s="47" t="s">
        <v>6864</v>
      </c>
      <c r="F153" s="47" t="s">
        <v>3130</v>
      </c>
      <c r="G153" s="47" t="s">
        <v>200</v>
      </c>
      <c r="H153" s="47" t="str">
        <f t="shared" si="5"/>
        <v>SRINAGAR</v>
      </c>
      <c r="I153" s="47" t="s">
        <v>6872</v>
      </c>
      <c r="J153" s="48">
        <v>45999</v>
      </c>
      <c r="K153" s="47">
        <v>9596341802</v>
      </c>
      <c r="L153" s="47" t="s">
        <v>48</v>
      </c>
      <c r="M153" s="49" t="s">
        <v>7615</v>
      </c>
      <c r="N153" s="48">
        <v>46017</v>
      </c>
      <c r="O153" s="47" t="s">
        <v>23</v>
      </c>
      <c r="P153" s="50">
        <v>46017</v>
      </c>
      <c r="Q153" s="47" t="s">
        <v>6460</v>
      </c>
      <c r="R153" s="47"/>
    </row>
    <row r="154" spans="1:18" x14ac:dyDescent="0.25">
      <c r="A154" s="47">
        <f t="shared" si="4"/>
        <v>153</v>
      </c>
      <c r="B154" s="47" t="s">
        <v>6899</v>
      </c>
      <c r="C154" s="47" t="s">
        <v>6895</v>
      </c>
      <c r="D154" s="47" t="s">
        <v>6896</v>
      </c>
      <c r="E154" s="47" t="s">
        <v>6897</v>
      </c>
      <c r="F154" s="47" t="s">
        <v>5</v>
      </c>
      <c r="G154" s="47" t="s">
        <v>174</v>
      </c>
      <c r="H154" s="47" t="str">
        <f t="shared" si="5"/>
        <v>PULWAMA</v>
      </c>
      <c r="I154" s="47" t="s">
        <v>6898</v>
      </c>
      <c r="J154" s="48">
        <v>45999</v>
      </c>
      <c r="K154" s="47">
        <v>9906488569</v>
      </c>
      <c r="L154" s="47" t="s">
        <v>26</v>
      </c>
      <c r="M154" s="49" t="s">
        <v>6947</v>
      </c>
      <c r="N154" s="48">
        <v>46000</v>
      </c>
      <c r="O154" s="47" t="s">
        <v>23</v>
      </c>
      <c r="P154" s="50">
        <v>46000</v>
      </c>
      <c r="Q154" s="47" t="s">
        <v>6460</v>
      </c>
      <c r="R154" s="47"/>
    </row>
    <row r="155" spans="1:18" x14ac:dyDescent="0.25">
      <c r="A155" s="47">
        <f t="shared" si="4"/>
        <v>154</v>
      </c>
      <c r="B155" s="47" t="s">
        <v>6860</v>
      </c>
      <c r="C155" s="47" t="s">
        <v>6858</v>
      </c>
      <c r="D155" s="47" t="s">
        <v>6859</v>
      </c>
      <c r="E155" s="47" t="s">
        <v>6857</v>
      </c>
      <c r="F155" s="47" t="s">
        <v>5</v>
      </c>
      <c r="G155" s="47" t="s">
        <v>200</v>
      </c>
      <c r="H155" s="47" t="str">
        <f t="shared" si="5"/>
        <v>BARAMULLA</v>
      </c>
      <c r="I155" s="47" t="s">
        <v>6874</v>
      </c>
      <c r="J155" s="48">
        <v>45999</v>
      </c>
      <c r="K155" s="47">
        <v>9906476349</v>
      </c>
      <c r="L155" s="47" t="s">
        <v>48</v>
      </c>
      <c r="M155" s="49"/>
      <c r="N155" s="48"/>
      <c r="O155" s="47" t="s">
        <v>6445</v>
      </c>
      <c r="P155" s="50">
        <v>45999</v>
      </c>
      <c r="Q155" s="47"/>
      <c r="R155" s="47"/>
    </row>
    <row r="156" spans="1:18" x14ac:dyDescent="0.25">
      <c r="A156" s="47">
        <f t="shared" si="4"/>
        <v>155</v>
      </c>
      <c r="B156" s="47" t="s">
        <v>6900</v>
      </c>
      <c r="C156" s="47" t="s">
        <v>6903</v>
      </c>
      <c r="D156" s="47" t="s">
        <v>6906</v>
      </c>
      <c r="E156" s="47" t="s">
        <v>6901</v>
      </c>
      <c r="F156" s="47" t="s">
        <v>31</v>
      </c>
      <c r="G156" s="47" t="s">
        <v>175</v>
      </c>
      <c r="H156" s="47" t="str">
        <f t="shared" si="5"/>
        <v>PULWAMA</v>
      </c>
      <c r="I156" s="47" t="s">
        <v>6902</v>
      </c>
      <c r="J156" s="48">
        <v>45999</v>
      </c>
      <c r="K156" s="47">
        <v>7006251106</v>
      </c>
      <c r="L156" s="47" t="s">
        <v>6451</v>
      </c>
      <c r="M156" s="49" t="s">
        <v>7807</v>
      </c>
      <c r="N156" s="48">
        <v>46022</v>
      </c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6862</v>
      </c>
      <c r="C157" s="47" t="s">
        <v>6861</v>
      </c>
      <c r="D157" s="47" t="s">
        <v>6867</v>
      </c>
      <c r="E157" s="47" t="s">
        <v>6433</v>
      </c>
      <c r="F157" s="47" t="s">
        <v>31</v>
      </c>
      <c r="G157" s="47" t="s">
        <v>221</v>
      </c>
      <c r="H157" s="47" t="str">
        <f t="shared" si="5"/>
        <v>SRINAGAR</v>
      </c>
      <c r="I157" s="47" t="s">
        <v>6875</v>
      </c>
      <c r="J157" s="48">
        <v>45999</v>
      </c>
      <c r="K157" s="47">
        <v>7051040191</v>
      </c>
      <c r="L157" s="47" t="s">
        <v>106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6871</v>
      </c>
      <c r="C158" s="47" t="s">
        <v>6868</v>
      </c>
      <c r="D158" s="47" t="s">
        <v>6869</v>
      </c>
      <c r="E158" s="47" t="s">
        <v>6870</v>
      </c>
      <c r="F158" s="47" t="s">
        <v>5</v>
      </c>
      <c r="G158" s="47" t="s">
        <v>200</v>
      </c>
      <c r="H158" s="47" t="str">
        <f t="shared" si="5"/>
        <v>SRINAGAR</v>
      </c>
      <c r="I158" s="47" t="s">
        <v>6904</v>
      </c>
      <c r="J158" s="48">
        <v>45999</v>
      </c>
      <c r="K158" s="47">
        <v>7006401343</v>
      </c>
      <c r="L158" s="47" t="s">
        <v>166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6883</v>
      </c>
      <c r="C159" s="47" t="s">
        <v>6880</v>
      </c>
      <c r="D159" s="47" t="s">
        <v>6881</v>
      </c>
      <c r="E159" s="47" t="s">
        <v>6882</v>
      </c>
      <c r="F159" s="47" t="s">
        <v>3130</v>
      </c>
      <c r="G159" s="47" t="s">
        <v>6475</v>
      </c>
      <c r="H159" s="47" t="str">
        <f t="shared" si="5"/>
        <v>ANANTNAG</v>
      </c>
      <c r="I159" s="47" t="s">
        <v>6885</v>
      </c>
      <c r="J159" s="48">
        <v>45999</v>
      </c>
      <c r="K159" s="47">
        <v>9149853916</v>
      </c>
      <c r="L159" s="47" t="s">
        <v>6884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6894</v>
      </c>
      <c r="C160" s="47" t="s">
        <v>6891</v>
      </c>
      <c r="D160" s="47" t="s">
        <v>6892</v>
      </c>
      <c r="E160" s="47" t="s">
        <v>6893</v>
      </c>
      <c r="F160" s="47" t="s">
        <v>31</v>
      </c>
      <c r="G160" s="47" t="s">
        <v>200</v>
      </c>
      <c r="H160" s="47" t="str">
        <f t="shared" si="5"/>
        <v>PULWAMA</v>
      </c>
      <c r="I160" s="47" t="s">
        <v>6905</v>
      </c>
      <c r="J160" s="48">
        <v>45999</v>
      </c>
      <c r="K160" s="47">
        <v>9797244437</v>
      </c>
      <c r="L160" s="47" t="s">
        <v>6521</v>
      </c>
      <c r="M160" s="49" t="s">
        <v>7672</v>
      </c>
      <c r="N160" s="48">
        <v>46030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 t="shared" si="5"/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 t="shared" si="4"/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 t="shared" si="5"/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 t="shared" si="4"/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 t="shared" si="4"/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 t="shared" si="4"/>
        <v>165</v>
      </c>
      <c r="B166" s="47" t="s">
        <v>6926</v>
      </c>
      <c r="C166" s="47" t="s">
        <v>6924</v>
      </c>
      <c r="D166" s="47" t="s">
        <v>6925</v>
      </c>
      <c r="E166" s="47" t="s">
        <v>3420</v>
      </c>
      <c r="F166" s="47" t="s">
        <v>31</v>
      </c>
      <c r="G166" s="47" t="s">
        <v>174</v>
      </c>
      <c r="H166" s="47" t="str">
        <f t="shared" si="5"/>
        <v>PULWAMA</v>
      </c>
      <c r="I166" s="47" t="s">
        <v>6928</v>
      </c>
      <c r="J166" s="48">
        <v>46000</v>
      </c>
      <c r="K166" s="47">
        <v>9622432608</v>
      </c>
      <c r="L166" s="47" t="s">
        <v>6521</v>
      </c>
      <c r="M166" s="49" t="s">
        <v>7164</v>
      </c>
      <c r="N166" s="48">
        <v>46007</v>
      </c>
      <c r="O166" s="47"/>
      <c r="P166" s="50"/>
      <c r="Q166" s="47"/>
      <c r="R166" s="47"/>
    </row>
    <row r="167" spans="1:18" x14ac:dyDescent="0.25">
      <c r="A167" s="47">
        <f t="shared" si="4"/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6913</v>
      </c>
      <c r="C168" s="47" t="s">
        <v>6920</v>
      </c>
      <c r="D168" s="47" t="s">
        <v>6921</v>
      </c>
      <c r="E168" s="47" t="s">
        <v>6914</v>
      </c>
      <c r="F168" s="47" t="s">
        <v>281</v>
      </c>
      <c r="G168" s="47" t="s">
        <v>199</v>
      </c>
      <c r="H168" s="47" t="str">
        <f t="shared" si="5"/>
        <v>SHOPIAN</v>
      </c>
      <c r="I168" s="47" t="s">
        <v>6912</v>
      </c>
      <c r="J168" s="48">
        <v>46000</v>
      </c>
      <c r="K168" s="47">
        <v>7006824047</v>
      </c>
      <c r="L168" s="47" t="s">
        <v>6580</v>
      </c>
      <c r="M168" s="49" t="s">
        <v>7151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 t="shared" si="5"/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 t="shared" si="4"/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 t="shared" si="5"/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 t="shared" si="5"/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 t="shared" si="5"/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6999</v>
      </c>
      <c r="C174" s="47" t="s">
        <v>6996</v>
      </c>
      <c r="D174" s="47" t="s">
        <v>6997</v>
      </c>
      <c r="E174" s="47" t="s">
        <v>4399</v>
      </c>
      <c r="F174" s="47" t="s">
        <v>6998</v>
      </c>
      <c r="G174" s="47" t="s">
        <v>200</v>
      </c>
      <c r="H174" s="47" t="str">
        <f t="shared" si="5"/>
        <v>BUDGAM</v>
      </c>
      <c r="I174" s="47" t="s">
        <v>7025</v>
      </c>
      <c r="J174" s="48">
        <v>46002</v>
      </c>
      <c r="K174" s="47">
        <v>6006763182</v>
      </c>
      <c r="L174" s="47" t="s">
        <v>70</v>
      </c>
      <c r="M174" s="49" t="s">
        <v>7954</v>
      </c>
      <c r="N174" s="48">
        <v>46032</v>
      </c>
      <c r="O174" s="47" t="s">
        <v>23</v>
      </c>
      <c r="P174" s="50">
        <v>46003</v>
      </c>
      <c r="Q174" s="47" t="s">
        <v>6460</v>
      </c>
      <c r="R174" s="47"/>
    </row>
    <row r="175" spans="1:18" x14ac:dyDescent="0.25">
      <c r="A175" s="47">
        <f t="shared" si="4"/>
        <v>174</v>
      </c>
      <c r="B175" s="47" t="s">
        <v>7000</v>
      </c>
      <c r="C175" s="47" t="s">
        <v>7001</v>
      </c>
      <c r="D175" s="47" t="s">
        <v>7002</v>
      </c>
      <c r="E175" s="47" t="s">
        <v>7003</v>
      </c>
      <c r="F175" s="47" t="s">
        <v>6998</v>
      </c>
      <c r="G175" s="47" t="s">
        <v>175</v>
      </c>
      <c r="H175" s="47" t="str">
        <f t="shared" si="5"/>
        <v>BUDGAM</v>
      </c>
      <c r="I175" s="47" t="s">
        <v>7026</v>
      </c>
      <c r="J175" s="48">
        <v>46002</v>
      </c>
      <c r="K175" s="47">
        <v>9149852485</v>
      </c>
      <c r="L175" s="47" t="s">
        <v>70</v>
      </c>
      <c r="M175" s="49" t="s">
        <v>7114</v>
      </c>
      <c r="N175" s="48">
        <v>46006</v>
      </c>
      <c r="O175" s="47" t="s">
        <v>23</v>
      </c>
      <c r="P175" s="50">
        <v>46003</v>
      </c>
      <c r="Q175" s="47" t="s">
        <v>6460</v>
      </c>
      <c r="R175" s="47"/>
    </row>
    <row r="176" spans="1:18" x14ac:dyDescent="0.25">
      <c r="A176" s="47">
        <f t="shared" si="4"/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7021</v>
      </c>
      <c r="C177" s="47" t="s">
        <v>7022</v>
      </c>
      <c r="D177" s="47" t="s">
        <v>7023</v>
      </c>
      <c r="E177" s="47" t="s">
        <v>7024</v>
      </c>
      <c r="F177" s="47" t="s">
        <v>119</v>
      </c>
      <c r="G177" s="47" t="s">
        <v>174</v>
      </c>
      <c r="H177" s="47" t="str">
        <f t="shared" si="5"/>
        <v>BARAMULLA</v>
      </c>
      <c r="I177" s="47" t="s">
        <v>7027</v>
      </c>
      <c r="J177" s="48">
        <v>46002</v>
      </c>
      <c r="K177" s="47">
        <v>8082636745</v>
      </c>
      <c r="L177" s="47" t="s">
        <v>43</v>
      </c>
      <c r="M177" s="49" t="s">
        <v>7152</v>
      </c>
      <c r="N177" s="48">
        <v>46007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6989</v>
      </c>
      <c r="C178" s="47" t="s">
        <v>6986</v>
      </c>
      <c r="D178" s="47" t="s">
        <v>6987</v>
      </c>
      <c r="E178" s="47" t="s">
        <v>6988</v>
      </c>
      <c r="F178" s="47" t="s">
        <v>3130</v>
      </c>
      <c r="G178" s="47" t="s">
        <v>6475</v>
      </c>
      <c r="H178" s="47" t="str">
        <f t="shared" si="5"/>
        <v>SRINAGAR</v>
      </c>
      <c r="I178" s="47" t="s">
        <v>6991</v>
      </c>
      <c r="J178" s="48">
        <v>46002</v>
      </c>
      <c r="K178" s="47">
        <v>9596275480</v>
      </c>
      <c r="L178" s="47" t="s">
        <v>70</v>
      </c>
      <c r="M178" s="49" t="s">
        <v>7617</v>
      </c>
      <c r="N178" s="48">
        <v>46028</v>
      </c>
      <c r="O178" s="47"/>
      <c r="P178" s="50"/>
      <c r="Q178" s="47"/>
      <c r="R178" s="47"/>
    </row>
    <row r="179" spans="1:18" x14ac:dyDescent="0.25">
      <c r="A179" s="47">
        <f t="shared" si="4"/>
        <v>178</v>
      </c>
      <c r="B179" s="47" t="s">
        <v>7009</v>
      </c>
      <c r="C179" s="47" t="s">
        <v>7010</v>
      </c>
      <c r="D179" s="47" t="s">
        <v>7011</v>
      </c>
      <c r="E179" s="47" t="s">
        <v>7012</v>
      </c>
      <c r="F179" s="47" t="s">
        <v>281</v>
      </c>
      <c r="G179" s="47" t="s">
        <v>200</v>
      </c>
      <c r="H179" s="47" t="str">
        <f t="shared" si="5"/>
        <v>SRINAGAR</v>
      </c>
      <c r="I179" s="47" t="s">
        <v>7013</v>
      </c>
      <c r="J179" s="48">
        <v>46002</v>
      </c>
      <c r="K179" s="47">
        <v>7006743019</v>
      </c>
      <c r="L179" s="47" t="s">
        <v>7014</v>
      </c>
      <c r="M179" s="49" t="s">
        <v>7164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6992</v>
      </c>
      <c r="C180" s="47" t="s">
        <v>6993</v>
      </c>
      <c r="D180" s="47" t="s">
        <v>6995</v>
      </c>
      <c r="E180" s="47" t="s">
        <v>6994</v>
      </c>
      <c r="F180" s="47" t="s">
        <v>5</v>
      </c>
      <c r="G180" s="47" t="s">
        <v>200</v>
      </c>
      <c r="H180" s="47" t="str">
        <f t="shared" si="5"/>
        <v>SHOPIAN</v>
      </c>
      <c r="I180" s="47" t="s">
        <v>7019</v>
      </c>
      <c r="J180" s="48">
        <v>46002</v>
      </c>
      <c r="K180" s="47">
        <v>9906277021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7018</v>
      </c>
      <c r="C181" s="47" t="s">
        <v>7015</v>
      </c>
      <c r="D181" s="47" t="s">
        <v>7016</v>
      </c>
      <c r="E181" s="47" t="s">
        <v>7017</v>
      </c>
      <c r="F181" s="47" t="s">
        <v>31</v>
      </c>
      <c r="G181" s="47" t="s">
        <v>221</v>
      </c>
      <c r="H181" s="47" t="str">
        <f t="shared" si="5"/>
        <v>PULWAMA</v>
      </c>
      <c r="I181" s="47" t="s">
        <v>7020</v>
      </c>
      <c r="J181" s="48">
        <v>46002</v>
      </c>
      <c r="K181" s="47">
        <v>7889910978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7052</v>
      </c>
      <c r="C182" s="47" t="s">
        <v>7053</v>
      </c>
      <c r="D182" s="47" t="s">
        <v>7054</v>
      </c>
      <c r="E182" s="47" t="s">
        <v>7055</v>
      </c>
      <c r="F182" s="47" t="s">
        <v>3130</v>
      </c>
      <c r="G182" s="47" t="s">
        <v>6475</v>
      </c>
      <c r="H182" s="47" t="str">
        <f t="shared" si="5"/>
        <v>SRINAGAR</v>
      </c>
      <c r="I182" s="47" t="s">
        <v>7063</v>
      </c>
      <c r="J182" s="48">
        <v>46003</v>
      </c>
      <c r="K182" s="47">
        <v>6006485825</v>
      </c>
      <c r="L182" s="47" t="s">
        <v>7056</v>
      </c>
      <c r="M182" s="49" t="s">
        <v>8075</v>
      </c>
      <c r="N182" s="48">
        <v>46027</v>
      </c>
      <c r="O182" s="54" t="s">
        <v>7083</v>
      </c>
      <c r="P182" s="50"/>
      <c r="Q182" s="47"/>
      <c r="R182" s="47"/>
    </row>
    <row r="183" spans="1:18" x14ac:dyDescent="0.25">
      <c r="A183" s="47">
        <f t="shared" si="4"/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7057</v>
      </c>
      <c r="C184" s="47" t="s">
        <v>7058</v>
      </c>
      <c r="D184" s="47" t="s">
        <v>7059</v>
      </c>
      <c r="E184" s="47" t="s">
        <v>7060</v>
      </c>
      <c r="F184" s="47" t="s">
        <v>119</v>
      </c>
      <c r="G184" s="47" t="s">
        <v>200</v>
      </c>
      <c r="H184" s="47" t="str">
        <f t="shared" si="5"/>
        <v>PULWAMA</v>
      </c>
      <c r="I184" s="47" t="s">
        <v>7075</v>
      </c>
      <c r="J184" s="48">
        <v>46003</v>
      </c>
      <c r="K184" s="47">
        <v>9682101195</v>
      </c>
      <c r="L184" s="47" t="s">
        <v>70</v>
      </c>
      <c r="M184" s="49" t="s">
        <v>7114</v>
      </c>
      <c r="N184" s="48">
        <v>46009</v>
      </c>
      <c r="O184" s="47" t="s">
        <v>23</v>
      </c>
      <c r="P184" s="50">
        <v>46003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7070</v>
      </c>
      <c r="C185" s="47" t="s">
        <v>7071</v>
      </c>
      <c r="D185" s="47" t="s">
        <v>7072</v>
      </c>
      <c r="E185" s="47" t="s">
        <v>7073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7074</v>
      </c>
      <c r="J185" s="48">
        <v>46003</v>
      </c>
      <c r="K185" s="47">
        <v>9419705595</v>
      </c>
      <c r="L185" s="47" t="s">
        <v>70</v>
      </c>
      <c r="M185" s="49"/>
      <c r="N185" s="48"/>
      <c r="O185" s="47" t="s">
        <v>23</v>
      </c>
      <c r="P185" s="50">
        <v>46003</v>
      </c>
      <c r="Q185" s="47" t="s">
        <v>6460</v>
      </c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7048</v>
      </c>
      <c r="C187" s="47" t="s">
        <v>7049</v>
      </c>
      <c r="D187" s="47" t="s">
        <v>7050</v>
      </c>
      <c r="E187" s="47" t="s">
        <v>7051</v>
      </c>
      <c r="F187" s="47" t="s">
        <v>31</v>
      </c>
      <c r="G187" s="47" t="s">
        <v>221</v>
      </c>
      <c r="H187" s="47" t="str">
        <f t="shared" si="5"/>
        <v>SRINAGAR</v>
      </c>
      <c r="I187" s="47" t="s">
        <v>7061</v>
      </c>
      <c r="J187" s="48">
        <v>46003</v>
      </c>
      <c r="K187" s="47">
        <v>7006646319</v>
      </c>
      <c r="L187" s="47" t="s">
        <v>6521</v>
      </c>
      <c r="M187" s="49" t="s">
        <v>7262</v>
      </c>
      <c r="N187" s="48">
        <v>46009</v>
      </c>
      <c r="O187" s="47" t="s">
        <v>23</v>
      </c>
      <c r="P187" s="50">
        <v>46009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 t="shared" si="5"/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7098</v>
      </c>
      <c r="C190" s="47" t="s">
        <v>7099</v>
      </c>
      <c r="D190" s="47" t="s">
        <v>7100</v>
      </c>
      <c r="E190" s="47" t="s">
        <v>7101</v>
      </c>
      <c r="F190" s="47" t="s">
        <v>6829</v>
      </c>
      <c r="G190" s="47" t="s">
        <v>6440</v>
      </c>
      <c r="H190" s="47" t="str">
        <f t="shared" si="5"/>
        <v>SRINAGAR</v>
      </c>
      <c r="I190" s="47" t="s">
        <v>7108</v>
      </c>
      <c r="J190" s="48">
        <v>46004</v>
      </c>
      <c r="K190" s="47">
        <v>7006224132</v>
      </c>
      <c r="L190" s="47" t="s">
        <v>7111</v>
      </c>
      <c r="M190" s="49"/>
      <c r="N190" s="48"/>
      <c r="O190" s="47" t="s">
        <v>23</v>
      </c>
      <c r="P190" s="50">
        <v>46004</v>
      </c>
      <c r="Q190" s="47" t="s">
        <v>6460</v>
      </c>
      <c r="R190" s="47"/>
    </row>
    <row r="191" spans="1:18" x14ac:dyDescent="0.25">
      <c r="A191" s="47">
        <f t="shared" si="4"/>
        <v>190</v>
      </c>
      <c r="B191" s="47" t="s">
        <v>7106</v>
      </c>
      <c r="C191" s="47" t="s">
        <v>7094</v>
      </c>
      <c r="D191" s="47" t="s">
        <v>7095</v>
      </c>
      <c r="E191" s="47" t="s">
        <v>7096</v>
      </c>
      <c r="F191" s="47" t="s">
        <v>31</v>
      </c>
      <c r="G191" s="47" t="s">
        <v>175</v>
      </c>
      <c r="H191" s="47" t="str">
        <f t="shared" si="5"/>
        <v>JAMMU</v>
      </c>
      <c r="I191" s="47" t="s">
        <v>7107</v>
      </c>
      <c r="J191" s="48">
        <v>46004</v>
      </c>
      <c r="K191" s="47">
        <v>7006058332</v>
      </c>
      <c r="L191" s="47" t="s">
        <v>6761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 t="shared" si="5"/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 t="shared" si="7"/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 t="shared" si="7"/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7144</v>
      </c>
      <c r="C197" s="47" t="s">
        <v>7145</v>
      </c>
      <c r="D197" s="47" t="s">
        <v>7146</v>
      </c>
      <c r="E197" s="47" t="s">
        <v>7147</v>
      </c>
      <c r="F197" s="47" t="s">
        <v>119</v>
      </c>
      <c r="G197" s="47" t="s">
        <v>175</v>
      </c>
      <c r="H197" s="47" t="str">
        <f t="shared" si="7"/>
        <v>BARAMULLA</v>
      </c>
      <c r="I197" s="47" t="s">
        <v>7172</v>
      </c>
      <c r="J197" s="48">
        <v>46007</v>
      </c>
      <c r="K197" s="47">
        <v>7889821425</v>
      </c>
      <c r="L197" s="47" t="s">
        <v>6832</v>
      </c>
      <c r="M197" s="49" t="s">
        <v>6890</v>
      </c>
      <c r="N197" s="48">
        <v>46008</v>
      </c>
      <c r="O197" s="47" t="s">
        <v>23</v>
      </c>
      <c r="P197" s="50">
        <v>46007</v>
      </c>
      <c r="Q197" s="47" t="s">
        <v>6460</v>
      </c>
      <c r="R197" s="47"/>
    </row>
    <row r="198" spans="1:18" x14ac:dyDescent="0.25">
      <c r="A198" s="47">
        <f t="shared" si="6"/>
        <v>197</v>
      </c>
      <c r="B198" s="47" t="s">
        <v>7148</v>
      </c>
      <c r="C198" s="47" t="s">
        <v>7149</v>
      </c>
      <c r="D198" s="47" t="s">
        <v>7150</v>
      </c>
      <c r="E198" s="47" t="s">
        <v>4727</v>
      </c>
      <c r="F198" s="47" t="s">
        <v>119</v>
      </c>
      <c r="G198" s="47" t="s">
        <v>175</v>
      </c>
      <c r="H198" s="47" t="str">
        <f t="shared" si="7"/>
        <v>SRINAGAR</v>
      </c>
      <c r="I198" s="47" t="s">
        <v>7187</v>
      </c>
      <c r="J198" s="48">
        <v>46007</v>
      </c>
      <c r="K198" s="47">
        <v>9622347307</v>
      </c>
      <c r="L198" s="47" t="s">
        <v>106</v>
      </c>
      <c r="M198" s="49" t="s">
        <v>7601</v>
      </c>
      <c r="N198" s="48">
        <v>46027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7163</v>
      </c>
      <c r="C199" s="47" t="s">
        <v>7160</v>
      </c>
      <c r="D199" s="47" t="s">
        <v>7161</v>
      </c>
      <c r="E199" s="47" t="s">
        <v>7162</v>
      </c>
      <c r="F199" s="47" t="s">
        <v>119</v>
      </c>
      <c r="G199" s="47" t="s">
        <v>200</v>
      </c>
      <c r="H199" s="47" t="str">
        <f t="shared" si="7"/>
        <v>BUDGAM</v>
      </c>
      <c r="I199" s="47" t="s">
        <v>7169</v>
      </c>
      <c r="J199" s="48">
        <v>46007</v>
      </c>
      <c r="K199" s="47">
        <v>8493000467</v>
      </c>
      <c r="L199" s="47" t="s">
        <v>1517</v>
      </c>
      <c r="M199" s="49"/>
      <c r="N199" s="48"/>
      <c r="O199" s="47" t="s">
        <v>23</v>
      </c>
      <c r="P199" s="50">
        <v>46007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7165</v>
      </c>
      <c r="C200" s="47" t="s">
        <v>7166</v>
      </c>
      <c r="D200" s="47" t="s">
        <v>7167</v>
      </c>
      <c r="E200" s="47" t="s">
        <v>7168</v>
      </c>
      <c r="F200" s="47" t="s">
        <v>250</v>
      </c>
      <c r="G200" s="47" t="s">
        <v>200</v>
      </c>
      <c r="H200" s="47" t="str">
        <f t="shared" si="7"/>
        <v>SRINAGAR</v>
      </c>
      <c r="I200" s="47" t="s">
        <v>7186</v>
      </c>
      <c r="J200" s="48">
        <v>46007</v>
      </c>
      <c r="K200" s="47">
        <v>9797255546</v>
      </c>
      <c r="L200" s="47" t="s">
        <v>75</v>
      </c>
      <c r="M200" s="49"/>
      <c r="N200" s="48"/>
      <c r="O200" s="47" t="s">
        <v>23</v>
      </c>
      <c r="P200" s="50">
        <v>46008</v>
      </c>
      <c r="Q200" s="47" t="s">
        <v>6460</v>
      </c>
      <c r="R200" s="47"/>
    </row>
    <row r="201" spans="1:18" x14ac:dyDescent="0.25">
      <c r="A201" s="47">
        <f t="shared" si="6"/>
        <v>200</v>
      </c>
      <c r="B201" s="47" t="s">
        <v>7180</v>
      </c>
      <c r="C201" s="47" t="s">
        <v>7177</v>
      </c>
      <c r="D201" s="47" t="s">
        <v>7178</v>
      </c>
      <c r="E201" s="47" t="s">
        <v>7179</v>
      </c>
      <c r="F201" s="47" t="s">
        <v>6420</v>
      </c>
      <c r="G201" s="47" t="s">
        <v>200</v>
      </c>
      <c r="H201" s="47" t="str">
        <f t="shared" si="7"/>
        <v>SRINAGAR</v>
      </c>
      <c r="I201" s="47" t="s">
        <v>7188</v>
      </c>
      <c r="J201" s="48">
        <v>46007</v>
      </c>
      <c r="K201" s="47">
        <v>8825095120</v>
      </c>
      <c r="L201" s="47" t="s">
        <v>43</v>
      </c>
      <c r="M201" s="49" t="s">
        <v>7152</v>
      </c>
      <c r="N201" s="48">
        <v>46010</v>
      </c>
      <c r="O201" s="47" t="s">
        <v>23</v>
      </c>
      <c r="P201" s="50">
        <v>46008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7181</v>
      </c>
      <c r="C202" s="47" t="s">
        <v>7182</v>
      </c>
      <c r="D202" s="47" t="s">
        <v>7183</v>
      </c>
      <c r="E202" s="47" t="s">
        <v>7184</v>
      </c>
      <c r="F202" s="47" t="s">
        <v>31</v>
      </c>
      <c r="G202" s="47" t="s">
        <v>199</v>
      </c>
      <c r="H202" s="47" t="str">
        <f t="shared" si="7"/>
        <v>POONCH</v>
      </c>
      <c r="I202" s="47" t="s">
        <v>7185</v>
      </c>
      <c r="J202" s="48">
        <v>46007</v>
      </c>
      <c r="K202" s="47">
        <v>6005890836</v>
      </c>
      <c r="L202" s="47" t="s">
        <v>7195</v>
      </c>
      <c r="M202" s="49"/>
      <c r="N202" s="48"/>
      <c r="O202" s="47" t="s">
        <v>23</v>
      </c>
      <c r="P202" s="50">
        <v>46008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7159</v>
      </c>
      <c r="C203" s="47" t="s">
        <v>7156</v>
      </c>
      <c r="D203" s="47" t="s">
        <v>7157</v>
      </c>
      <c r="E203" s="47" t="s">
        <v>7158</v>
      </c>
      <c r="F203" s="47" t="s">
        <v>119</v>
      </c>
      <c r="G203" s="47" t="s">
        <v>175</v>
      </c>
      <c r="H203" s="47" t="str">
        <f t="shared" si="7"/>
        <v>PULWAMA</v>
      </c>
      <c r="I203" s="47" t="s">
        <v>7170</v>
      </c>
      <c r="J203" s="48">
        <v>46007</v>
      </c>
      <c r="K203" s="47">
        <v>7889354231</v>
      </c>
      <c r="L203" s="47" t="s">
        <v>6521</v>
      </c>
      <c r="M203" s="49" t="s">
        <v>7672</v>
      </c>
      <c r="N203" s="48">
        <v>46021</v>
      </c>
      <c r="O203" s="47"/>
      <c r="P203" s="50"/>
      <c r="Q203" s="47"/>
      <c r="R203" s="47" t="s">
        <v>7194</v>
      </c>
    </row>
    <row r="204" spans="1:18" x14ac:dyDescent="0.25">
      <c r="A204" s="47">
        <f t="shared" si="6"/>
        <v>203</v>
      </c>
      <c r="B204" s="47" t="s">
        <v>7143</v>
      </c>
      <c r="C204" s="47" t="s">
        <v>7140</v>
      </c>
      <c r="D204" s="47" t="s">
        <v>7141</v>
      </c>
      <c r="E204" s="47" t="s">
        <v>7142</v>
      </c>
      <c r="F204" s="47" t="s">
        <v>119</v>
      </c>
      <c r="G204" s="47" t="s">
        <v>200</v>
      </c>
      <c r="H204" s="47" t="str">
        <f t="shared" si="7"/>
        <v>BUDGAM</v>
      </c>
      <c r="I204" s="47" t="s">
        <v>7173</v>
      </c>
      <c r="J204" s="48">
        <v>46007</v>
      </c>
      <c r="K204" s="47">
        <v>9622878211</v>
      </c>
      <c r="L204" s="47" t="s">
        <v>6521</v>
      </c>
      <c r="M204" s="49" t="s">
        <v>7776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 t="shared" si="7"/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 t="shared" si="7"/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 t="shared" si="7"/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 t="shared" si="7"/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 t="shared" si="7"/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 t="shared" si="7"/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 t="shared" si="6"/>
        <v>214</v>
      </c>
      <c r="B215" s="47" t="s">
        <v>7265</v>
      </c>
      <c r="C215" s="47" t="s">
        <v>7266</v>
      </c>
      <c r="D215" s="47" t="s">
        <v>7267</v>
      </c>
      <c r="E215" s="47" t="s">
        <v>7268</v>
      </c>
      <c r="F215" s="47" t="s">
        <v>119</v>
      </c>
      <c r="G215" s="47" t="s">
        <v>175</v>
      </c>
      <c r="H215" s="47" t="str">
        <f t="shared" si="7"/>
        <v>SHOPIAN</v>
      </c>
      <c r="I215" s="47" t="s">
        <v>7269</v>
      </c>
      <c r="J215" s="48">
        <v>46009</v>
      </c>
      <c r="K215" s="47">
        <v>9103369022</v>
      </c>
      <c r="L215" s="47" t="s">
        <v>6570</v>
      </c>
      <c r="M215" s="49" t="s">
        <v>7294</v>
      </c>
      <c r="N215" s="48">
        <v>46010</v>
      </c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7276</v>
      </c>
      <c r="C216" s="47" t="s">
        <v>7273</v>
      </c>
      <c r="D216" s="47" t="s">
        <v>7274</v>
      </c>
      <c r="E216" s="47" t="s">
        <v>7275</v>
      </c>
      <c r="F216" s="47" t="s">
        <v>31</v>
      </c>
      <c r="G216" s="47" t="s">
        <v>200</v>
      </c>
      <c r="H216" s="47" t="str">
        <f t="shared" si="7"/>
        <v>SHOPIAN</v>
      </c>
      <c r="I216" s="47" t="s">
        <v>7277</v>
      </c>
      <c r="J216" s="48">
        <v>46009</v>
      </c>
      <c r="K216" s="47">
        <v>7006865316</v>
      </c>
      <c r="L216" s="47" t="s">
        <v>6521</v>
      </c>
      <c r="M216" s="49" t="s">
        <v>7672</v>
      </c>
      <c r="N216" s="48">
        <v>46021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7235</v>
      </c>
      <c r="C217" s="47" t="s">
        <v>7236</v>
      </c>
      <c r="D217" s="47" t="s">
        <v>7237</v>
      </c>
      <c r="E217" s="47" t="s">
        <v>6772</v>
      </c>
      <c r="F217" s="47" t="s">
        <v>31</v>
      </c>
      <c r="G217" s="47" t="s">
        <v>200</v>
      </c>
      <c r="H217" s="47" t="str">
        <f t="shared" si="7"/>
        <v>PULWAMA</v>
      </c>
      <c r="I217" s="47" t="s">
        <v>7258</v>
      </c>
      <c r="J217" s="48">
        <v>46009</v>
      </c>
      <c r="K217" s="47">
        <v>9906698557</v>
      </c>
      <c r="L217" s="47" t="s">
        <v>7238</v>
      </c>
      <c r="M217" s="49" t="s">
        <v>7672</v>
      </c>
      <c r="N217" s="48">
        <v>46018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7242</v>
      </c>
      <c r="C218" s="47" t="s">
        <v>7239</v>
      </c>
      <c r="D218" s="47" t="s">
        <v>7240</v>
      </c>
      <c r="E218" s="47" t="s">
        <v>7241</v>
      </c>
      <c r="F218" s="47" t="s">
        <v>119</v>
      </c>
      <c r="G218" s="47" t="s">
        <v>200</v>
      </c>
      <c r="H218" s="47" t="str">
        <f t="shared" si="7"/>
        <v>PULWAMA</v>
      </c>
      <c r="I218" s="47" t="s">
        <v>7259</v>
      </c>
      <c r="J218" s="48">
        <v>46009</v>
      </c>
      <c r="K218" s="47">
        <v>7006889943</v>
      </c>
      <c r="L218" s="47" t="s">
        <v>6570</v>
      </c>
      <c r="M218" s="49"/>
      <c r="N218" s="48"/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7287</v>
      </c>
      <c r="C220" s="47" t="s">
        <v>7288</v>
      </c>
      <c r="D220" s="47" t="s">
        <v>7289</v>
      </c>
      <c r="E220" s="47" t="s">
        <v>7290</v>
      </c>
      <c r="F220" s="47" t="s">
        <v>6546</v>
      </c>
      <c r="G220" s="47" t="s">
        <v>6475</v>
      </c>
      <c r="H220" s="47" t="str">
        <f t="shared" si="7"/>
        <v>SRINAGAR</v>
      </c>
      <c r="I220" s="47" t="s">
        <v>7292</v>
      </c>
      <c r="J220" s="48">
        <v>46010</v>
      </c>
      <c r="K220" s="47">
        <v>9018112121</v>
      </c>
      <c r="L220" s="47" t="s">
        <v>26</v>
      </c>
      <c r="M220" s="49"/>
      <c r="N220" s="48"/>
      <c r="O220" s="47" t="s">
        <v>23</v>
      </c>
      <c r="P220" s="50">
        <v>46011</v>
      </c>
      <c r="Q220" s="47" t="s">
        <v>6460</v>
      </c>
      <c r="R220" s="47"/>
    </row>
    <row r="221" spans="1:18" x14ac:dyDescent="0.25">
      <c r="A221" s="47">
        <f t="shared" si="6"/>
        <v>220</v>
      </c>
      <c r="B221" s="47" t="s">
        <v>7299</v>
      </c>
      <c r="C221" s="47" t="s">
        <v>7295</v>
      </c>
      <c r="D221" s="47" t="s">
        <v>7296</v>
      </c>
      <c r="E221" s="47" t="s">
        <v>7297</v>
      </c>
      <c r="F221" s="47" t="s">
        <v>31</v>
      </c>
      <c r="G221" s="47" t="s">
        <v>200</v>
      </c>
      <c r="H221" s="47" t="str">
        <f t="shared" si="7"/>
        <v>SRINAGAR</v>
      </c>
      <c r="I221" s="47" t="s">
        <v>7298</v>
      </c>
      <c r="J221" s="48">
        <v>46010</v>
      </c>
      <c r="K221" s="47">
        <v>9797150382</v>
      </c>
      <c r="L221" s="47" t="s">
        <v>48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7304</v>
      </c>
      <c r="C222" s="47" t="s">
        <v>7301</v>
      </c>
      <c r="D222" s="47" t="s">
        <v>7302</v>
      </c>
      <c r="E222" s="47" t="s">
        <v>7303</v>
      </c>
      <c r="F222" s="47" t="s">
        <v>125</v>
      </c>
      <c r="G222" s="47" t="s">
        <v>200</v>
      </c>
      <c r="H222" s="47" t="str">
        <f t="shared" si="7"/>
        <v>SRINAGAR</v>
      </c>
      <c r="I222" s="47" t="s">
        <v>7300</v>
      </c>
      <c r="J222" s="48">
        <v>46010</v>
      </c>
      <c r="K222" s="47">
        <v>9797271333</v>
      </c>
      <c r="L222" s="47" t="s">
        <v>6451</v>
      </c>
      <c r="M222" s="49" t="s">
        <v>8239</v>
      </c>
      <c r="N222" s="48">
        <v>46032</v>
      </c>
      <c r="O222" s="47"/>
      <c r="P222" s="50"/>
      <c r="Q222" s="47"/>
      <c r="R222" s="47"/>
    </row>
    <row r="223" spans="1:18" x14ac:dyDescent="0.25">
      <c r="A223" s="47">
        <f t="shared" si="6"/>
        <v>222</v>
      </c>
      <c r="B223" s="47" t="s">
        <v>7282</v>
      </c>
      <c r="C223" s="47" t="s">
        <v>7283</v>
      </c>
      <c r="D223" s="47" t="s">
        <v>7284</v>
      </c>
      <c r="E223" s="47" t="s">
        <v>7285</v>
      </c>
      <c r="F223" s="47" t="s">
        <v>67</v>
      </c>
      <c r="G223" s="47" t="s">
        <v>174</v>
      </c>
      <c r="H223" s="47" t="str">
        <f t="shared" si="7"/>
        <v>PULWAMA</v>
      </c>
      <c r="I223" s="47" t="s">
        <v>7291</v>
      </c>
      <c r="J223" s="48">
        <v>46010</v>
      </c>
      <c r="K223" s="47">
        <v>9419032432</v>
      </c>
      <c r="L223" s="47" t="s">
        <v>6521</v>
      </c>
      <c r="M223" s="49" t="s">
        <v>7672</v>
      </c>
      <c r="N223" s="48">
        <v>46021</v>
      </c>
      <c r="O223" s="47"/>
      <c r="P223" s="50"/>
      <c r="Q223" s="47"/>
      <c r="R223" s="47" t="s">
        <v>7293</v>
      </c>
    </row>
    <row r="224" spans="1:18" x14ac:dyDescent="0.25">
      <c r="A224" s="47">
        <f t="shared" si="6"/>
        <v>223</v>
      </c>
      <c r="B224" s="47" t="s">
        <v>7279</v>
      </c>
      <c r="C224" s="47" t="s">
        <v>7280</v>
      </c>
      <c r="D224" s="47" t="s">
        <v>7281</v>
      </c>
      <c r="E224" s="47" t="s">
        <v>7129</v>
      </c>
      <c r="F224" s="47" t="s">
        <v>6829</v>
      </c>
      <c r="G224" s="47" t="s">
        <v>199</v>
      </c>
      <c r="H224" s="47" t="str">
        <f t="shared" si="7"/>
        <v>SRINAGAR</v>
      </c>
      <c r="I224" s="47" t="s">
        <v>7286</v>
      </c>
      <c r="J224" s="48">
        <v>46010</v>
      </c>
      <c r="K224" s="47">
        <v>7006797277</v>
      </c>
      <c r="L224" s="47" t="s">
        <v>3926</v>
      </c>
      <c r="M224" s="49" t="s">
        <v>7454</v>
      </c>
      <c r="N224" s="48">
        <v>46015</v>
      </c>
      <c r="O224" s="47"/>
      <c r="P224" s="50"/>
      <c r="Q224" s="47"/>
      <c r="R224" s="47"/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7322</v>
      </c>
      <c r="C226" s="47" t="s">
        <v>7323</v>
      </c>
      <c r="D226" s="47" t="s">
        <v>7324</v>
      </c>
      <c r="E226" s="47" t="s">
        <v>7330</v>
      </c>
      <c r="F226" s="47" t="s">
        <v>193</v>
      </c>
      <c r="G226" s="47" t="s">
        <v>200</v>
      </c>
      <c r="H226" s="47" t="str">
        <f t="shared" si="7"/>
        <v>NEW</v>
      </c>
      <c r="I226" s="47" t="s">
        <v>7331</v>
      </c>
      <c r="J226" s="48">
        <v>46011</v>
      </c>
      <c r="K226" s="47">
        <v>9596209114</v>
      </c>
      <c r="L226" s="47" t="s">
        <v>2172</v>
      </c>
      <c r="M226" s="49" t="s">
        <v>7617</v>
      </c>
      <c r="N226" s="48">
        <v>46017</v>
      </c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7342</v>
      </c>
      <c r="C229" s="47" t="s">
        <v>7343</v>
      </c>
      <c r="D229" s="47" t="s">
        <v>7344</v>
      </c>
      <c r="E229" s="47" t="s">
        <v>7345</v>
      </c>
      <c r="F229" s="47" t="s">
        <v>101</v>
      </c>
      <c r="G229" s="47" t="s">
        <v>200</v>
      </c>
      <c r="H229" s="47" t="str">
        <f t="shared" si="7"/>
        <v>SRINAGAR</v>
      </c>
      <c r="I229" s="47" t="s">
        <v>7347</v>
      </c>
      <c r="J229" s="48">
        <v>46011</v>
      </c>
      <c r="K229" s="47">
        <v>7006565342</v>
      </c>
      <c r="L229" s="47" t="s">
        <v>110</v>
      </c>
      <c r="M229" s="49"/>
      <c r="N229" s="48"/>
      <c r="O229" s="47" t="s">
        <v>23</v>
      </c>
      <c r="P229" s="50">
        <v>46016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7313</v>
      </c>
      <c r="C230" s="47" t="s">
        <v>7310</v>
      </c>
      <c r="D230" s="47" t="s">
        <v>7311</v>
      </c>
      <c r="E230" s="47" t="s">
        <v>7312</v>
      </c>
      <c r="F230" s="47" t="s">
        <v>238</v>
      </c>
      <c r="G230" s="47" t="s">
        <v>200</v>
      </c>
      <c r="H230" s="47" t="str">
        <f t="shared" si="7"/>
        <v>PULWAMA</v>
      </c>
      <c r="I230" s="47" t="s">
        <v>7320</v>
      </c>
      <c r="J230" s="48">
        <v>46011</v>
      </c>
      <c r="K230" s="47">
        <v>7006878734</v>
      </c>
      <c r="L230" s="47" t="s">
        <v>26</v>
      </c>
      <c r="M230" s="49"/>
      <c r="N230" s="48"/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7350</v>
      </c>
      <c r="C232" s="47" t="s">
        <v>7351</v>
      </c>
      <c r="D232" s="47" t="s">
        <v>7352</v>
      </c>
      <c r="E232" s="47" t="s">
        <v>7353</v>
      </c>
      <c r="F232" s="47" t="s">
        <v>119</v>
      </c>
      <c r="G232" s="47" t="s">
        <v>200</v>
      </c>
      <c r="H232" s="47" t="str">
        <f t="shared" si="7"/>
        <v>KUPWARA</v>
      </c>
      <c r="I232" s="47" t="s">
        <v>7374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6"/>
        <v>232</v>
      </c>
      <c r="B233" s="47" t="s">
        <v>7357</v>
      </c>
      <c r="C233" s="47" t="s">
        <v>7354</v>
      </c>
      <c r="D233" s="47" t="s">
        <v>7355</v>
      </c>
      <c r="E233" s="47" t="s">
        <v>7356</v>
      </c>
      <c r="F233" s="47" t="s">
        <v>6546</v>
      </c>
      <c r="G233" s="47" t="s">
        <v>6475</v>
      </c>
      <c r="H233" s="47" t="str">
        <f t="shared" si="7"/>
        <v>SRINAGAR</v>
      </c>
      <c r="I233" s="47" t="s">
        <v>7375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7358</v>
      </c>
      <c r="C234" s="47" t="s">
        <v>7359</v>
      </c>
      <c r="D234" s="47" t="s">
        <v>7360</v>
      </c>
      <c r="E234" s="47" t="s">
        <v>7361</v>
      </c>
      <c r="F234" s="47" t="s">
        <v>238</v>
      </c>
      <c r="G234" s="47" t="s">
        <v>200</v>
      </c>
      <c r="H234" s="47" t="str">
        <f t="shared" si="7"/>
        <v>PULWAMA</v>
      </c>
      <c r="I234" s="47" t="s">
        <v>7379</v>
      </c>
      <c r="J234" s="48">
        <v>46012</v>
      </c>
      <c r="K234" s="47">
        <v>6005579912</v>
      </c>
      <c r="L234" s="47" t="s">
        <v>7238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7362</v>
      </c>
      <c r="C235" s="47" t="s">
        <v>7363</v>
      </c>
      <c r="D235" s="47" t="s">
        <v>7364</v>
      </c>
      <c r="E235" s="47" t="s">
        <v>7365</v>
      </c>
      <c r="F235" s="47" t="s">
        <v>7366</v>
      </c>
      <c r="G235" s="47" t="s">
        <v>199</v>
      </c>
      <c r="H235" s="47" t="str">
        <f t="shared" si="7"/>
        <v>SRINAGAR</v>
      </c>
      <c r="I235" s="47" t="s">
        <v>7376</v>
      </c>
      <c r="J235" s="48">
        <v>46012</v>
      </c>
      <c r="K235" s="47">
        <v>7780927793</v>
      </c>
      <c r="L235" s="47" t="s">
        <v>551</v>
      </c>
      <c r="M235" s="49" t="s">
        <v>7455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6"/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 t="shared" si="6"/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 t="shared" si="7"/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 t="shared" si="7"/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7402</v>
      </c>
      <c r="C240" s="47" t="s">
        <v>7398</v>
      </c>
      <c r="D240" s="47" t="s">
        <v>7399</v>
      </c>
      <c r="E240" s="47" t="s">
        <v>7400</v>
      </c>
      <c r="F240" s="47" t="s">
        <v>7401</v>
      </c>
      <c r="G240" s="47" t="s">
        <v>200</v>
      </c>
      <c r="H240" s="47" t="str">
        <f t="shared" si="7"/>
        <v>SRINAGAR</v>
      </c>
      <c r="I240" s="47" t="s">
        <v>7404</v>
      </c>
      <c r="J240" s="48">
        <v>46013</v>
      </c>
      <c r="K240" s="47">
        <v>9906387311</v>
      </c>
      <c r="L240" s="47" t="s">
        <v>1517</v>
      </c>
      <c r="M240" s="49"/>
      <c r="N240" s="48"/>
      <c r="O240" s="47" t="s">
        <v>23</v>
      </c>
      <c r="P240" s="50">
        <v>46013</v>
      </c>
      <c r="Q240" s="47" t="s">
        <v>6460</v>
      </c>
      <c r="R240" s="47"/>
    </row>
    <row r="241" spans="1:18" x14ac:dyDescent="0.25">
      <c r="A241" s="47">
        <f t="shared" si="6"/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7411</v>
      </c>
      <c r="C242" s="47" t="s">
        <v>7408</v>
      </c>
      <c r="D242" s="47" t="s">
        <v>7409</v>
      </c>
      <c r="E242" s="47" t="s">
        <v>7410</v>
      </c>
      <c r="F242" s="47" t="s">
        <v>12</v>
      </c>
      <c r="G242" s="47" t="s">
        <v>200</v>
      </c>
      <c r="H242" s="47" t="str">
        <f t="shared" si="7"/>
        <v>KUPWARA</v>
      </c>
      <c r="I242" s="47" t="s">
        <v>7419</v>
      </c>
      <c r="J242" s="48">
        <v>46013</v>
      </c>
      <c r="K242" s="47">
        <v>8899080830</v>
      </c>
      <c r="L242" s="47" t="s">
        <v>307</v>
      </c>
      <c r="M242" s="49"/>
      <c r="N242" s="48"/>
      <c r="O242" s="47" t="s">
        <v>23</v>
      </c>
      <c r="P242" s="50">
        <v>46014</v>
      </c>
      <c r="Q242" s="47" t="s">
        <v>6460</v>
      </c>
      <c r="R242" s="47" t="s">
        <v>8650</v>
      </c>
    </row>
    <row r="243" spans="1:18" x14ac:dyDescent="0.25">
      <c r="A243" s="47">
        <f t="shared" si="6"/>
        <v>242</v>
      </c>
      <c r="B243" s="47" t="s">
        <v>7415</v>
      </c>
      <c r="C243" s="47" t="s">
        <v>7412</v>
      </c>
      <c r="D243" s="47" t="s">
        <v>7413</v>
      </c>
      <c r="E243" s="47" t="s">
        <v>7414</v>
      </c>
      <c r="F243" s="47" t="s">
        <v>101</v>
      </c>
      <c r="G243" s="47" t="s">
        <v>199</v>
      </c>
      <c r="H243" s="47" t="str">
        <f t="shared" si="7"/>
        <v>SRINAGAR</v>
      </c>
      <c r="I243" s="47" t="s">
        <v>7420</v>
      </c>
      <c r="J243" s="48">
        <v>46013</v>
      </c>
      <c r="K243" s="47">
        <v>7780857793</v>
      </c>
      <c r="L243" s="47" t="s">
        <v>110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7397</v>
      </c>
      <c r="C244" s="47" t="s">
        <v>7393</v>
      </c>
      <c r="D244" s="47" t="s">
        <v>7394</v>
      </c>
      <c r="E244" s="47" t="s">
        <v>7395</v>
      </c>
      <c r="F244" s="47" t="s">
        <v>12</v>
      </c>
      <c r="G244" s="47" t="s">
        <v>200</v>
      </c>
      <c r="H244" s="47" t="str">
        <f t="shared" si="7"/>
        <v>JAMMU</v>
      </c>
      <c r="I244" s="47" t="s">
        <v>7396</v>
      </c>
      <c r="J244" s="48">
        <v>46013</v>
      </c>
      <c r="K244" s="47">
        <v>7006740143</v>
      </c>
      <c r="L244" s="47" t="s">
        <v>1517</v>
      </c>
      <c r="M244" s="49"/>
      <c r="N244" s="48"/>
      <c r="O244" s="47"/>
      <c r="P244" s="50"/>
      <c r="Q244" s="47"/>
      <c r="R244" s="47"/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 t="shared" si="7"/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 t="shared" si="7"/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7478</v>
      </c>
      <c r="C250" s="47" t="s">
        <v>7470</v>
      </c>
      <c r="D250" s="47" t="s">
        <v>7520</v>
      </c>
      <c r="E250" s="47" t="s">
        <v>7462</v>
      </c>
      <c r="F250" s="47" t="s">
        <v>125</v>
      </c>
      <c r="G250" s="47" t="s">
        <v>175</v>
      </c>
      <c r="H250" s="47" t="str">
        <f t="shared" si="7"/>
        <v>BUDGAM</v>
      </c>
      <c r="I250" s="47" t="s">
        <v>7488</v>
      </c>
      <c r="J250" s="48">
        <v>46015</v>
      </c>
      <c r="K250" s="47">
        <v>9018754974</v>
      </c>
      <c r="L250" s="47" t="s">
        <v>2172</v>
      </c>
      <c r="M250" s="49"/>
      <c r="N250" s="48"/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 t="shared" si="6"/>
        <v>250</v>
      </c>
      <c r="B251" s="47" t="s">
        <v>7479</v>
      </c>
      <c r="C251" s="47" t="s">
        <v>7471</v>
      </c>
      <c r="D251" s="47" t="s">
        <v>7498</v>
      </c>
      <c r="E251" s="47" t="s">
        <v>7463</v>
      </c>
      <c r="F251" s="47" t="s">
        <v>100</v>
      </c>
      <c r="G251" s="47" t="s">
        <v>200</v>
      </c>
      <c r="H251" s="47" t="str">
        <f t="shared" si="7"/>
        <v>BUDGAM</v>
      </c>
      <c r="I251" s="47" t="s">
        <v>7489</v>
      </c>
      <c r="J251" s="48">
        <v>46015</v>
      </c>
      <c r="K251" s="47">
        <v>7889383674</v>
      </c>
      <c r="L251" s="47" t="s">
        <v>48</v>
      </c>
      <c r="M251" s="49" t="s">
        <v>7775</v>
      </c>
      <c r="N251" s="48">
        <v>46022</v>
      </c>
      <c r="O251" s="47" t="s">
        <v>23</v>
      </c>
      <c r="P251" s="50">
        <v>46016</v>
      </c>
      <c r="Q251" s="47" t="s">
        <v>6460</v>
      </c>
      <c r="R251" s="47"/>
    </row>
    <row r="252" spans="1:18" x14ac:dyDescent="0.25">
      <c r="A252" s="47">
        <f t="shared" si="6"/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7483</v>
      </c>
      <c r="C253" s="47" t="s">
        <v>7475</v>
      </c>
      <c r="D253" s="47" t="s">
        <v>7497</v>
      </c>
      <c r="E253" s="47" t="s">
        <v>7467</v>
      </c>
      <c r="F253" s="47" t="s">
        <v>5</v>
      </c>
      <c r="G253" s="47" t="s">
        <v>200</v>
      </c>
      <c r="H253" s="47" t="str">
        <f t="shared" si="7"/>
        <v>SRINAGAR</v>
      </c>
      <c r="I253" s="47" t="s">
        <v>7493</v>
      </c>
      <c r="J253" s="48">
        <v>46015</v>
      </c>
      <c r="K253" s="47">
        <v>9541622336</v>
      </c>
      <c r="L253" s="47" t="s">
        <v>18</v>
      </c>
      <c r="M253" s="49" t="s">
        <v>7614</v>
      </c>
      <c r="N253" s="48">
        <v>46024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6"/>
        <v>253</v>
      </c>
      <c r="B254" s="47" t="s">
        <v>7476</v>
      </c>
      <c r="C254" s="47" t="s">
        <v>7468</v>
      </c>
      <c r="D254" s="47" t="s">
        <v>7515</v>
      </c>
      <c r="E254" s="47" t="s">
        <v>7460</v>
      </c>
      <c r="F254" s="47" t="s">
        <v>67</v>
      </c>
      <c r="G254" s="47" t="s">
        <v>200</v>
      </c>
      <c r="H254" s="47" t="str">
        <f t="shared" si="7"/>
        <v>BARAMULLA</v>
      </c>
      <c r="I254" s="47" t="s">
        <v>7486</v>
      </c>
      <c r="J254" s="48">
        <v>46015</v>
      </c>
      <c r="K254" s="47">
        <v>9596022327</v>
      </c>
      <c r="L254" s="47" t="s">
        <v>6683</v>
      </c>
      <c r="M254" s="49" t="s">
        <v>8017</v>
      </c>
      <c r="N254" s="48">
        <v>46025</v>
      </c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7477</v>
      </c>
      <c r="C255" s="47" t="s">
        <v>7469</v>
      </c>
      <c r="D255" s="47" t="s">
        <v>7495</v>
      </c>
      <c r="E255" s="47" t="s">
        <v>7461</v>
      </c>
      <c r="F255" s="47" t="s">
        <v>7484</v>
      </c>
      <c r="G255" s="47" t="s">
        <v>199</v>
      </c>
      <c r="H255" s="47" t="str">
        <f t="shared" si="7"/>
        <v>BARAMULLA</v>
      </c>
      <c r="I255" s="47" t="s">
        <v>7487</v>
      </c>
      <c r="J255" s="48">
        <v>46015</v>
      </c>
      <c r="K255" s="47">
        <v>9906539681</v>
      </c>
      <c r="L255" s="47" t="s">
        <v>106</v>
      </c>
      <c r="M255" s="49" t="s">
        <v>8094</v>
      </c>
      <c r="N255" s="48">
        <v>46028</v>
      </c>
      <c r="O255" s="47"/>
      <c r="P255" s="50"/>
      <c r="Q255" s="47"/>
      <c r="R255" s="47"/>
    </row>
    <row r="256" spans="1:18" x14ac:dyDescent="0.25">
      <c r="A256" s="47">
        <f t="shared" si="6"/>
        <v>255</v>
      </c>
      <c r="B256" s="47" t="s">
        <v>7443</v>
      </c>
      <c r="C256" s="47" t="s">
        <v>7444</v>
      </c>
      <c r="D256" s="47" t="s">
        <v>7445</v>
      </c>
      <c r="E256" s="47" t="s">
        <v>7446</v>
      </c>
      <c r="F256" s="47" t="s">
        <v>100</v>
      </c>
      <c r="G256" s="44" t="s">
        <v>174</v>
      </c>
      <c r="H256" s="47" t="str">
        <f t="shared" si="7"/>
        <v>BUDGAM</v>
      </c>
      <c r="I256" s="47" t="s">
        <v>7456</v>
      </c>
      <c r="J256" s="48">
        <v>46015</v>
      </c>
      <c r="K256" s="47">
        <v>7889666298</v>
      </c>
      <c r="L256" s="47" t="s">
        <v>70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7556</v>
      </c>
      <c r="C257" s="47" t="s">
        <v>7557</v>
      </c>
      <c r="D257" s="47" t="s">
        <v>7558</v>
      </c>
      <c r="E257" s="47" t="s">
        <v>7559</v>
      </c>
      <c r="F257" s="47" t="s">
        <v>5</v>
      </c>
      <c r="G257" s="47" t="s">
        <v>200</v>
      </c>
      <c r="H257" s="47" t="str">
        <f t="shared" si="7"/>
        <v>TEMP</v>
      </c>
      <c r="I257" s="47" t="s">
        <v>7560</v>
      </c>
      <c r="J257" s="48">
        <v>46015</v>
      </c>
      <c r="K257" s="47"/>
      <c r="L257" s="47" t="s">
        <v>2248</v>
      </c>
      <c r="M257" s="49"/>
      <c r="N257" s="48"/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7481</v>
      </c>
      <c r="C259" s="47" t="s">
        <v>7473</v>
      </c>
      <c r="D259" s="47" t="s">
        <v>7496</v>
      </c>
      <c r="E259" s="47" t="s">
        <v>7465</v>
      </c>
      <c r="F259" s="47" t="s">
        <v>7485</v>
      </c>
      <c r="G259" s="47" t="s">
        <v>199</v>
      </c>
      <c r="H259" s="47" t="str">
        <f t="shared" si="9"/>
        <v>SRINAGAR</v>
      </c>
      <c r="I259" s="47" t="s">
        <v>7491</v>
      </c>
      <c r="J259" s="48">
        <v>46015</v>
      </c>
      <c r="K259" s="47">
        <v>9149877765</v>
      </c>
      <c r="L259" s="47" t="s">
        <v>6451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 t="shared" si="9"/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8"/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 t="shared" si="9"/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7532</v>
      </c>
      <c r="C262" s="47" t="s">
        <v>7533</v>
      </c>
      <c r="D262" s="47" t="s">
        <v>7534</v>
      </c>
      <c r="E262" s="47" t="s">
        <v>6433</v>
      </c>
      <c r="F262" s="47" t="s">
        <v>31</v>
      </c>
      <c r="G262" s="47" t="s">
        <v>175</v>
      </c>
      <c r="H262" s="47" t="str">
        <f t="shared" si="9"/>
        <v>BUDGAM</v>
      </c>
      <c r="I262" s="47" t="s">
        <v>7554</v>
      </c>
      <c r="J262" s="48">
        <v>46016</v>
      </c>
      <c r="K262" s="47">
        <v>9858321757</v>
      </c>
      <c r="L262" s="47" t="s">
        <v>43</v>
      </c>
      <c r="M262" s="49" t="s">
        <v>7596</v>
      </c>
      <c r="N262" s="48">
        <v>46017</v>
      </c>
      <c r="O262" s="47" t="s">
        <v>23</v>
      </c>
      <c r="P262" s="50">
        <v>46016</v>
      </c>
      <c r="Q262" s="47" t="s">
        <v>6460</v>
      </c>
      <c r="R262" s="47"/>
    </row>
    <row r="263" spans="1:18" x14ac:dyDescent="0.25">
      <c r="A263" s="47">
        <f t="shared" si="8"/>
        <v>262</v>
      </c>
      <c r="B263" s="47" t="s">
        <v>7535</v>
      </c>
      <c r="C263" s="47" t="s">
        <v>7536</v>
      </c>
      <c r="D263" s="47" t="s">
        <v>7537</v>
      </c>
      <c r="E263" s="47" t="s">
        <v>7538</v>
      </c>
      <c r="F263" s="47" t="s">
        <v>100</v>
      </c>
      <c r="G263" s="47" t="s">
        <v>200</v>
      </c>
      <c r="H263" s="47" t="str">
        <f t="shared" si="9"/>
        <v>BANDIPORA</v>
      </c>
      <c r="I263" s="47" t="s">
        <v>7553</v>
      </c>
      <c r="J263" s="48">
        <v>46016</v>
      </c>
      <c r="K263" s="47">
        <v>7889559968</v>
      </c>
      <c r="L263" s="47" t="s">
        <v>6832</v>
      </c>
      <c r="M263" s="49"/>
      <c r="N263" s="48"/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7540</v>
      </c>
      <c r="C264" s="47" t="s">
        <v>7541</v>
      </c>
      <c r="D264" s="47" t="s">
        <v>7542</v>
      </c>
      <c r="E264" s="47" t="s">
        <v>7543</v>
      </c>
      <c r="F264" s="47" t="s">
        <v>119</v>
      </c>
      <c r="G264" s="47" t="s">
        <v>174</v>
      </c>
      <c r="H264" s="47" t="str">
        <f t="shared" si="9"/>
        <v>PULWAMA</v>
      </c>
      <c r="I264" s="47" t="s">
        <v>7555</v>
      </c>
      <c r="J264" s="48">
        <v>46016</v>
      </c>
      <c r="K264" s="47">
        <v>8825061187</v>
      </c>
      <c r="L264" s="47" t="s">
        <v>7544</v>
      </c>
      <c r="M264" s="49" t="s">
        <v>7694</v>
      </c>
      <c r="N264" s="48">
        <v>46020</v>
      </c>
      <c r="O264" s="47" t="s">
        <v>23</v>
      </c>
      <c r="P264" s="50">
        <v>46017</v>
      </c>
      <c r="Q264" s="47" t="s">
        <v>6460</v>
      </c>
      <c r="R264" s="47"/>
    </row>
    <row r="265" spans="1:18" x14ac:dyDescent="0.25">
      <c r="A265" s="47">
        <f t="shared" si="8"/>
        <v>264</v>
      </c>
      <c r="B265" s="47" t="s">
        <v>7527</v>
      </c>
      <c r="C265" s="47" t="s">
        <v>7523</v>
      </c>
      <c r="D265" s="47" t="s">
        <v>7524</v>
      </c>
      <c r="E265" s="47" t="s">
        <v>7525</v>
      </c>
      <c r="F265" s="47" t="s">
        <v>67</v>
      </c>
      <c r="G265" s="47" t="s">
        <v>199</v>
      </c>
      <c r="H265" s="47" t="str">
        <f t="shared" si="9"/>
        <v>SRINAGAR</v>
      </c>
      <c r="I265" s="47" t="s">
        <v>7526</v>
      </c>
      <c r="J265" s="48">
        <v>46016</v>
      </c>
      <c r="K265" s="47">
        <v>9906536032</v>
      </c>
      <c r="L265" s="47" t="s">
        <v>61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7511</v>
      </c>
      <c r="C267" s="47" t="s">
        <v>7512</v>
      </c>
      <c r="D267" s="47" t="s">
        <v>7513</v>
      </c>
      <c r="E267" s="47" t="s">
        <v>7514</v>
      </c>
      <c r="F267" s="47" t="s">
        <v>12</v>
      </c>
      <c r="G267" s="47" t="s">
        <v>181</v>
      </c>
      <c r="H267" s="47" t="str">
        <f t="shared" si="9"/>
        <v>PULWAMA</v>
      </c>
      <c r="I267" s="47" t="s">
        <v>7519</v>
      </c>
      <c r="J267" s="48">
        <v>46016</v>
      </c>
      <c r="K267" s="47">
        <v>8825024324</v>
      </c>
      <c r="L267" s="47" t="s">
        <v>6521</v>
      </c>
      <c r="M267" s="49" t="s">
        <v>7715</v>
      </c>
      <c r="N267" s="48">
        <v>46042</v>
      </c>
      <c r="O267" s="47"/>
      <c r="P267" s="50"/>
      <c r="Q267" s="47"/>
      <c r="R267" s="47" t="s">
        <v>7521</v>
      </c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7578</v>
      </c>
      <c r="C269" s="47" t="s">
        <v>7579</v>
      </c>
      <c r="D269" s="47" t="s">
        <v>7580</v>
      </c>
      <c r="E269" s="47" t="s">
        <v>7581</v>
      </c>
      <c r="F269" s="47" t="s">
        <v>290</v>
      </c>
      <c r="G269" s="47" t="s">
        <v>175</v>
      </c>
      <c r="H269" s="47" t="str">
        <f t="shared" si="9"/>
        <v>SRINAGAR</v>
      </c>
      <c r="I269" s="47" t="s">
        <v>7592</v>
      </c>
      <c r="J269" s="48">
        <v>46017</v>
      </c>
      <c r="K269" s="47">
        <v>7006907205</v>
      </c>
      <c r="L269" s="47" t="s">
        <v>26</v>
      </c>
      <c r="M269" s="49"/>
      <c r="N269" s="48"/>
      <c r="O269" s="47" t="s">
        <v>23</v>
      </c>
      <c r="P269" s="50">
        <v>46018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7561</v>
      </c>
      <c r="C270" s="47" t="s">
        <v>7562</v>
      </c>
      <c r="D270" s="47" t="s">
        <v>7563</v>
      </c>
      <c r="E270" s="47" t="s">
        <v>7564</v>
      </c>
      <c r="F270" s="47" t="s">
        <v>31</v>
      </c>
      <c r="G270" s="47" t="s">
        <v>174</v>
      </c>
      <c r="H270" s="47" t="str">
        <f t="shared" si="9"/>
        <v>BARAMULLA</v>
      </c>
      <c r="I270" s="47" t="s">
        <v>7590</v>
      </c>
      <c r="J270" s="48">
        <v>46017</v>
      </c>
      <c r="K270" s="47">
        <v>9906918176</v>
      </c>
      <c r="L270" s="47" t="s">
        <v>26</v>
      </c>
      <c r="M270" s="49" t="s">
        <v>7616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8"/>
        <v>270</v>
      </c>
      <c r="B271" s="47" t="s">
        <v>7573</v>
      </c>
      <c r="C271" s="47" t="s">
        <v>7575</v>
      </c>
      <c r="D271" s="47" t="s">
        <v>7576</v>
      </c>
      <c r="E271" s="47" t="s">
        <v>7574</v>
      </c>
      <c r="F271" s="47" t="s">
        <v>7577</v>
      </c>
      <c r="G271" s="47" t="s">
        <v>6475</v>
      </c>
      <c r="H271" s="47" t="str">
        <f t="shared" si="9"/>
        <v>SRINAGAR</v>
      </c>
      <c r="I271" s="47" t="s">
        <v>7591</v>
      </c>
      <c r="J271" s="48">
        <v>46017</v>
      </c>
      <c r="K271" s="47">
        <v>9419002237</v>
      </c>
      <c r="L271" s="47" t="s">
        <v>106</v>
      </c>
      <c r="M271" s="49" t="s">
        <v>7601</v>
      </c>
      <c r="N271" s="48">
        <v>46017</v>
      </c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7597</v>
      </c>
      <c r="C273" s="47" t="s">
        <v>7598</v>
      </c>
      <c r="D273" s="47" t="s">
        <v>7599</v>
      </c>
      <c r="E273" s="47" t="s">
        <v>7600</v>
      </c>
      <c r="F273" s="47" t="s">
        <v>31</v>
      </c>
      <c r="G273" s="47" t="s">
        <v>200</v>
      </c>
      <c r="H273" s="47" t="str">
        <f t="shared" si="9"/>
        <v>KUPWARA</v>
      </c>
      <c r="I273" s="47" t="s">
        <v>7611</v>
      </c>
      <c r="J273" s="48">
        <v>46017</v>
      </c>
      <c r="K273" s="47">
        <v>9797222635</v>
      </c>
      <c r="L273" s="47" t="s">
        <v>1517</v>
      </c>
      <c r="M273" s="49" t="s">
        <v>7778</v>
      </c>
      <c r="N273" s="48">
        <v>46018</v>
      </c>
      <c r="O273" s="47" t="s">
        <v>23</v>
      </c>
      <c r="P273" s="50">
        <v>46018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7612</v>
      </c>
      <c r="C274" s="47" t="s">
        <v>7606</v>
      </c>
      <c r="D274" s="47" t="s">
        <v>7607</v>
      </c>
      <c r="E274" s="47" t="s">
        <v>7608</v>
      </c>
      <c r="F274" s="47" t="s">
        <v>31</v>
      </c>
      <c r="G274" s="47" t="s">
        <v>200</v>
      </c>
      <c r="H274" s="47" t="str">
        <f t="shared" si="9"/>
        <v>SRINAGAR</v>
      </c>
      <c r="I274" s="47" t="s">
        <v>7609</v>
      </c>
      <c r="J274" s="48">
        <v>46017</v>
      </c>
      <c r="K274" s="47">
        <v>9149416177</v>
      </c>
      <c r="L274" s="47" t="s">
        <v>1126</v>
      </c>
      <c r="M274" s="49"/>
      <c r="N274" s="48"/>
      <c r="O274" s="47" t="s">
        <v>23</v>
      </c>
      <c r="P274" s="50">
        <v>46017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7667</v>
      </c>
      <c r="C277" s="47" t="s">
        <v>7658</v>
      </c>
      <c r="D277" s="47" t="s">
        <v>7659</v>
      </c>
      <c r="E277" s="47" t="s">
        <v>7660</v>
      </c>
      <c r="F277" s="47" t="s">
        <v>31</v>
      </c>
      <c r="G277" s="47" t="s">
        <v>200</v>
      </c>
      <c r="H277" s="47" t="str">
        <f t="shared" si="9"/>
        <v>PULWAMA</v>
      </c>
      <c r="I277" s="47" t="s">
        <v>7661</v>
      </c>
      <c r="J277" s="48">
        <v>46018</v>
      </c>
      <c r="K277" s="47">
        <v>9622531795</v>
      </c>
      <c r="L277" s="47" t="s">
        <v>26</v>
      </c>
      <c r="M277" s="49" t="s">
        <v>7616</v>
      </c>
      <c r="N277" s="48">
        <v>46032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8"/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7628</v>
      </c>
      <c r="C279" s="47" t="s">
        <v>7629</v>
      </c>
      <c r="D279" s="47" t="s">
        <v>7630</v>
      </c>
      <c r="E279" s="47" t="s">
        <v>7631</v>
      </c>
      <c r="F279" s="47" t="s">
        <v>67</v>
      </c>
      <c r="G279" s="47" t="s">
        <v>181</v>
      </c>
      <c r="H279" s="47" t="str">
        <f t="shared" si="9"/>
        <v>PULWAMA</v>
      </c>
      <c r="I279" s="47" t="s">
        <v>7636</v>
      </c>
      <c r="J279" s="48">
        <v>46018</v>
      </c>
      <c r="K279" s="47">
        <v>9906687592</v>
      </c>
      <c r="L279" s="47" t="s">
        <v>26</v>
      </c>
      <c r="M279" s="49" t="s">
        <v>7616</v>
      </c>
      <c r="N279" s="48">
        <v>46023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8"/>
        <v>279</v>
      </c>
      <c r="B280" s="47" t="s">
        <v>7638</v>
      </c>
      <c r="C280" s="47" t="s">
        <v>7639</v>
      </c>
      <c r="D280" s="47" t="s">
        <v>7640</v>
      </c>
      <c r="E280" s="47" t="s">
        <v>7641</v>
      </c>
      <c r="F280" s="47" t="s">
        <v>5104</v>
      </c>
      <c r="G280" s="47" t="s">
        <v>174</v>
      </c>
      <c r="H280" s="47" t="str">
        <f t="shared" si="9"/>
        <v>SRINAGAR</v>
      </c>
      <c r="I280" s="47" t="s">
        <v>7651</v>
      </c>
      <c r="J280" s="48">
        <v>46018</v>
      </c>
      <c r="K280" s="47">
        <v>7006141977</v>
      </c>
      <c r="L280" s="47" t="s">
        <v>1126</v>
      </c>
      <c r="M280" s="49" t="s">
        <v>7700</v>
      </c>
      <c r="N280" s="48">
        <v>46020</v>
      </c>
      <c r="O280" s="47" t="s">
        <v>23</v>
      </c>
      <c r="P280" s="50">
        <v>46018</v>
      </c>
      <c r="Q280" s="47" t="s">
        <v>6460</v>
      </c>
      <c r="R280" s="47"/>
    </row>
    <row r="281" spans="1:18" x14ac:dyDescent="0.25">
      <c r="A281" s="47">
        <f t="shared" si="8"/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7645</v>
      </c>
      <c r="C282" s="47" t="s">
        <v>7642</v>
      </c>
      <c r="D282" s="47" t="s">
        <v>7643</v>
      </c>
      <c r="E282" s="47" t="s">
        <v>7644</v>
      </c>
      <c r="F282" s="47" t="s">
        <v>12</v>
      </c>
      <c r="G282" s="47" t="s">
        <v>200</v>
      </c>
      <c r="H282" s="47" t="str">
        <f t="shared" si="9"/>
        <v>SRINAGAR</v>
      </c>
      <c r="I282" s="47" t="s">
        <v>7650</v>
      </c>
      <c r="J282" s="48">
        <v>46018</v>
      </c>
      <c r="K282" s="47">
        <v>7006181232</v>
      </c>
      <c r="L282" s="47" t="s">
        <v>26</v>
      </c>
      <c r="M282" s="49"/>
      <c r="N282" s="48"/>
      <c r="O282" s="47"/>
      <c r="P282" s="50"/>
      <c r="Q282" s="47"/>
      <c r="R282" s="47"/>
    </row>
    <row r="283" spans="1:18" x14ac:dyDescent="0.25">
      <c r="A283" s="47">
        <f t="shared" si="8"/>
        <v>282</v>
      </c>
      <c r="B283" s="47" t="s">
        <v>7646</v>
      </c>
      <c r="C283" s="47" t="s">
        <v>7647</v>
      </c>
      <c r="D283" s="47" t="s">
        <v>7648</v>
      </c>
      <c r="E283" s="47" t="s">
        <v>7649</v>
      </c>
      <c r="F283" s="47" t="s">
        <v>12</v>
      </c>
      <c r="G283" s="47" t="s">
        <v>200</v>
      </c>
      <c r="H283" s="47" t="str">
        <f t="shared" si="9"/>
        <v>BUDGAM</v>
      </c>
      <c r="I283" s="47" t="s">
        <v>7652</v>
      </c>
      <c r="J283" s="48">
        <v>46018</v>
      </c>
      <c r="K283" s="47">
        <v>9622678196</v>
      </c>
      <c r="L283" s="47" t="s">
        <v>3926</v>
      </c>
      <c r="M283" s="49" t="s">
        <v>7454</v>
      </c>
      <c r="N283" s="48">
        <v>46024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7666</v>
      </c>
      <c r="C284" s="47" t="s">
        <v>7662</v>
      </c>
      <c r="D284" s="47" t="s">
        <v>7663</v>
      </c>
      <c r="E284" s="47" t="s">
        <v>7665</v>
      </c>
      <c r="F284" s="47" t="s">
        <v>31</v>
      </c>
      <c r="G284" s="47" t="s">
        <v>175</v>
      </c>
      <c r="H284" s="47" t="str">
        <f t="shared" si="9"/>
        <v>PULWAMA</v>
      </c>
      <c r="I284" s="47" t="s">
        <v>7664</v>
      </c>
      <c r="J284" s="48">
        <v>46018</v>
      </c>
      <c r="K284" s="47">
        <v>8715028576</v>
      </c>
      <c r="L284" s="47" t="s">
        <v>6451</v>
      </c>
      <c r="M284" s="49" t="s">
        <v>7453</v>
      </c>
      <c r="N284" s="48">
        <v>46044</v>
      </c>
      <c r="O284" s="47"/>
      <c r="P284" s="50"/>
      <c r="Q284" s="47"/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7722</v>
      </c>
      <c r="C286" s="47" t="s">
        <v>7723</v>
      </c>
      <c r="D286" s="47" t="s">
        <v>7724</v>
      </c>
      <c r="E286" s="47" t="s">
        <v>6772</v>
      </c>
      <c r="F286" s="47" t="s">
        <v>119</v>
      </c>
      <c r="G286" s="47" t="s">
        <v>200</v>
      </c>
      <c r="H286" s="47" t="str">
        <f t="shared" si="9"/>
        <v>SRINAGAR</v>
      </c>
      <c r="I286" s="47" t="s">
        <v>7729</v>
      </c>
      <c r="J286" s="48">
        <v>46020</v>
      </c>
      <c r="K286" s="47">
        <v>7006274587</v>
      </c>
      <c r="L286" s="47" t="s">
        <v>6807</v>
      </c>
      <c r="M286" s="49" t="s">
        <v>8173</v>
      </c>
      <c r="N286" s="48">
        <v>46029</v>
      </c>
      <c r="O286" s="47" t="s">
        <v>23</v>
      </c>
      <c r="P286" s="50">
        <v>46029</v>
      </c>
      <c r="Q286" s="47" t="s">
        <v>6460</v>
      </c>
      <c r="R286" s="47" t="s">
        <v>8123</v>
      </c>
    </row>
    <row r="287" spans="1:18" x14ac:dyDescent="0.25">
      <c r="A287" s="47">
        <f t="shared" si="8"/>
        <v>286</v>
      </c>
      <c r="B287" s="47" t="s">
        <v>7713</v>
      </c>
      <c r="C287" s="47" t="s">
        <v>7708</v>
      </c>
      <c r="D287" s="47" t="s">
        <v>7709</v>
      </c>
      <c r="E287" s="47" t="s">
        <v>7710</v>
      </c>
      <c r="F287" s="47" t="s">
        <v>7711</v>
      </c>
      <c r="G287" s="47" t="s">
        <v>200</v>
      </c>
      <c r="H287" s="47" t="str">
        <f t="shared" si="9"/>
        <v>NEW</v>
      </c>
      <c r="I287" s="47" t="s">
        <v>8016</v>
      </c>
      <c r="J287" s="48">
        <v>46020</v>
      </c>
      <c r="K287" s="47">
        <v>9622020576</v>
      </c>
      <c r="L287" s="47" t="s">
        <v>7712</v>
      </c>
      <c r="M287" s="49" t="s">
        <v>8124</v>
      </c>
      <c r="N287" s="48">
        <v>46028</v>
      </c>
      <c r="O287" s="47" t="s">
        <v>23</v>
      </c>
      <c r="P287" s="50">
        <v>46028</v>
      </c>
      <c r="Q287" s="47" t="s">
        <v>6460</v>
      </c>
      <c r="R287" s="47"/>
    </row>
    <row r="288" spans="1:18" x14ac:dyDescent="0.25">
      <c r="A288" s="47">
        <f t="shared" si="8"/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 t="shared" si="8"/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 t="shared" si="8"/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7779</v>
      </c>
      <c r="C292" s="47" t="s">
        <v>7780</v>
      </c>
      <c r="D292" s="47" t="s">
        <v>7781</v>
      </c>
      <c r="E292" s="47" t="s">
        <v>7782</v>
      </c>
      <c r="F292" s="47" t="s">
        <v>119</v>
      </c>
      <c r="G292" s="47" t="s">
        <v>175</v>
      </c>
      <c r="H292" s="47" t="str">
        <f t="shared" si="9"/>
        <v>BARAMULLA</v>
      </c>
      <c r="I292" s="47" t="s">
        <v>7783</v>
      </c>
      <c r="J292" s="48">
        <v>46021</v>
      </c>
      <c r="K292" s="47">
        <v>6006052436</v>
      </c>
      <c r="L292" s="47" t="s">
        <v>6521</v>
      </c>
      <c r="M292" s="49" t="s">
        <v>8218</v>
      </c>
      <c r="N292" s="48">
        <v>46030</v>
      </c>
      <c r="O292" s="47" t="s">
        <v>23</v>
      </c>
      <c r="P292" s="50">
        <v>46030</v>
      </c>
      <c r="Q292" s="47" t="s">
        <v>6460</v>
      </c>
      <c r="R292" s="47" t="s">
        <v>7808</v>
      </c>
    </row>
    <row r="293" spans="1:18" x14ac:dyDescent="0.25">
      <c r="A293" s="47">
        <f t="shared" si="8"/>
        <v>292</v>
      </c>
      <c r="B293" s="47" t="s">
        <v>7762</v>
      </c>
      <c r="C293" s="47" t="s">
        <v>7763</v>
      </c>
      <c r="D293" s="47" t="s">
        <v>7764</v>
      </c>
      <c r="E293" s="47" t="s">
        <v>7765</v>
      </c>
      <c r="F293" s="47" t="s">
        <v>3130</v>
      </c>
      <c r="G293" s="47" t="s">
        <v>6475</v>
      </c>
      <c r="H293" s="47" t="str">
        <f t="shared" si="9"/>
        <v>KULGAM</v>
      </c>
      <c r="I293" s="47" t="s">
        <v>7767</v>
      </c>
      <c r="J293" s="48">
        <v>46021</v>
      </c>
      <c r="K293" s="47">
        <v>9622775800</v>
      </c>
      <c r="L293" s="47" t="s">
        <v>26</v>
      </c>
      <c r="M293" s="49" t="s">
        <v>7616</v>
      </c>
      <c r="N293" s="48">
        <v>46032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8"/>
        <v>293</v>
      </c>
      <c r="B294" s="47" t="s">
        <v>7725</v>
      </c>
      <c r="C294" s="47" t="s">
        <v>7726</v>
      </c>
      <c r="D294" s="47" t="s">
        <v>7727</v>
      </c>
      <c r="E294" s="47" t="s">
        <v>7728</v>
      </c>
      <c r="F294" s="47" t="s">
        <v>12</v>
      </c>
      <c r="G294" s="47" t="s">
        <v>200</v>
      </c>
      <c r="H294" s="47" t="str">
        <f t="shared" si="9"/>
        <v>BUDGAM</v>
      </c>
      <c r="I294" s="47" t="s">
        <v>7747</v>
      </c>
      <c r="J294" s="48">
        <v>46021</v>
      </c>
      <c r="K294" s="47">
        <v>9541083744</v>
      </c>
      <c r="L294" s="47" t="s">
        <v>194</v>
      </c>
      <c r="M294" s="49" t="s">
        <v>7775</v>
      </c>
      <c r="N294" s="48">
        <v>46021</v>
      </c>
      <c r="O294" s="47" t="s">
        <v>23</v>
      </c>
      <c r="P294" s="50">
        <v>46021</v>
      </c>
      <c r="Q294" s="47" t="s">
        <v>6460</v>
      </c>
      <c r="R294" s="47"/>
    </row>
    <row r="295" spans="1:18" x14ac:dyDescent="0.25">
      <c r="A295" s="47">
        <f t="shared" si="8"/>
        <v>294</v>
      </c>
      <c r="B295" s="47" t="s">
        <v>7734</v>
      </c>
      <c r="C295" s="47" t="s">
        <v>7732</v>
      </c>
      <c r="D295" s="47" t="s">
        <v>7733</v>
      </c>
      <c r="E295" s="47" t="s">
        <v>2915</v>
      </c>
      <c r="F295" s="47" t="s">
        <v>238</v>
      </c>
      <c r="G295" s="47" t="s">
        <v>6475</v>
      </c>
      <c r="H295" s="47" t="str">
        <f t="shared" si="9"/>
        <v>PULWAMA</v>
      </c>
      <c r="I295" s="47" t="s">
        <v>7748</v>
      </c>
      <c r="J295" s="48">
        <v>46021</v>
      </c>
      <c r="K295" s="47">
        <v>9906625047</v>
      </c>
      <c r="L295" s="47" t="s">
        <v>26</v>
      </c>
      <c r="M295" s="49" t="s">
        <v>7616</v>
      </c>
      <c r="N295" s="48">
        <v>46022</v>
      </c>
      <c r="O295" s="47" t="s">
        <v>23</v>
      </c>
      <c r="P295" s="50">
        <v>46022</v>
      </c>
      <c r="Q295" s="47" t="s">
        <v>6460</v>
      </c>
      <c r="R295" s="47"/>
    </row>
    <row r="296" spans="1:18" x14ac:dyDescent="0.25">
      <c r="A296" s="47">
        <f t="shared" si="8"/>
        <v>295</v>
      </c>
      <c r="B296" s="47" t="s">
        <v>7738</v>
      </c>
      <c r="C296" s="47" t="s">
        <v>7735</v>
      </c>
      <c r="D296" s="47" t="s">
        <v>7736</v>
      </c>
      <c r="E296" s="47" t="s">
        <v>7737</v>
      </c>
      <c r="F296" s="47" t="s">
        <v>31</v>
      </c>
      <c r="G296" s="47" t="s">
        <v>200</v>
      </c>
      <c r="H296" s="47" t="str">
        <f t="shared" si="9"/>
        <v>PULWAMA</v>
      </c>
      <c r="I296" s="47" t="s">
        <v>7749</v>
      </c>
      <c r="J296" s="48">
        <v>46021</v>
      </c>
      <c r="K296" s="47">
        <v>7006928931</v>
      </c>
      <c r="L296" s="47" t="s">
        <v>48</v>
      </c>
      <c r="M296" s="49" t="s">
        <v>7773</v>
      </c>
      <c r="N296" s="48">
        <v>46027</v>
      </c>
      <c r="O296" s="47" t="s">
        <v>23</v>
      </c>
      <c r="P296" s="50">
        <v>46029</v>
      </c>
      <c r="Q296" s="47" t="s">
        <v>6460</v>
      </c>
      <c r="R296" s="47"/>
    </row>
    <row r="297" spans="1:18" x14ac:dyDescent="0.25">
      <c r="A297" s="47">
        <f t="shared" si="8"/>
        <v>296</v>
      </c>
      <c r="B297" s="47" t="s">
        <v>7772</v>
      </c>
      <c r="C297" s="47" t="s">
        <v>7769</v>
      </c>
      <c r="D297" s="47" t="s">
        <v>7770</v>
      </c>
      <c r="E297" s="47" t="s">
        <v>7771</v>
      </c>
      <c r="F297" s="47" t="s">
        <v>633</v>
      </c>
      <c r="G297" s="47" t="s">
        <v>226</v>
      </c>
      <c r="H297" s="47" t="str">
        <f t="shared" si="9"/>
        <v>BARAMULLA</v>
      </c>
      <c r="I297" s="47" t="s">
        <v>7774</v>
      </c>
      <c r="J297" s="48">
        <v>46021</v>
      </c>
      <c r="K297" s="47">
        <v>9596336858</v>
      </c>
      <c r="L297" s="47" t="s">
        <v>1517</v>
      </c>
      <c r="M297" s="49"/>
      <c r="N297" s="48"/>
      <c r="O297" s="47" t="s">
        <v>23</v>
      </c>
      <c r="P297" s="50"/>
      <c r="Q297" s="47" t="s">
        <v>8167</v>
      </c>
      <c r="R297" s="47"/>
    </row>
    <row r="298" spans="1:18" x14ac:dyDescent="0.25">
      <c r="A298" s="47">
        <f t="shared" si="8"/>
        <v>297</v>
      </c>
      <c r="B298" s="47" t="s">
        <v>7739</v>
      </c>
      <c r="C298" s="47" t="s">
        <v>7740</v>
      </c>
      <c r="D298" s="47" t="s">
        <v>7741</v>
      </c>
      <c r="E298" s="47" t="s">
        <v>7742</v>
      </c>
      <c r="F298" s="47" t="s">
        <v>119</v>
      </c>
      <c r="G298" s="47" t="s">
        <v>200</v>
      </c>
      <c r="H298" s="47" t="str">
        <f t="shared" si="9"/>
        <v>BUDGAM</v>
      </c>
      <c r="I298" s="47" t="s">
        <v>7750</v>
      </c>
      <c r="J298" s="48">
        <v>46021</v>
      </c>
      <c r="K298" s="47">
        <v>7006409005</v>
      </c>
      <c r="L298" s="47" t="s">
        <v>70</v>
      </c>
      <c r="M298" s="49" t="s">
        <v>7954</v>
      </c>
      <c r="N298" s="48">
        <v>46028</v>
      </c>
      <c r="O298" s="47"/>
      <c r="P298" s="50"/>
      <c r="Q298" s="47"/>
      <c r="R298" s="47"/>
    </row>
    <row r="299" spans="1:18" x14ac:dyDescent="0.25">
      <c r="A299" s="47">
        <f t="shared" si="8"/>
        <v>298</v>
      </c>
      <c r="B299" s="47" t="s">
        <v>7752</v>
      </c>
      <c r="C299" s="47" t="s">
        <v>7753</v>
      </c>
      <c r="D299" s="47" t="s">
        <v>7754</v>
      </c>
      <c r="E299" s="47" t="s">
        <v>7755</v>
      </c>
      <c r="F299" s="47" t="s">
        <v>100</v>
      </c>
      <c r="G299" s="47" t="s">
        <v>181</v>
      </c>
      <c r="H299" s="47" t="str">
        <f t="shared" si="9"/>
        <v>BARAMULLA</v>
      </c>
      <c r="I299" s="47" t="s">
        <v>7756</v>
      </c>
      <c r="J299" s="48">
        <v>46021</v>
      </c>
      <c r="K299" s="47">
        <v>9149570567</v>
      </c>
      <c r="L299" s="47" t="s">
        <v>6683</v>
      </c>
      <c r="M299" s="49" t="s">
        <v>7775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7761</v>
      </c>
      <c r="C300" s="47" t="s">
        <v>7757</v>
      </c>
      <c r="D300" s="47" t="s">
        <v>7758</v>
      </c>
      <c r="E300" s="47" t="s">
        <v>7759</v>
      </c>
      <c r="F300" s="47" t="s">
        <v>125</v>
      </c>
      <c r="G300" s="47" t="s">
        <v>7760</v>
      </c>
      <c r="H300" s="47" t="str">
        <f t="shared" si="9"/>
        <v>PULWAMA</v>
      </c>
      <c r="I300" s="47" t="s">
        <v>7766</v>
      </c>
      <c r="J300" s="48">
        <v>46021</v>
      </c>
      <c r="K300" s="47">
        <v>8082041918</v>
      </c>
      <c r="L300" s="47" t="s">
        <v>176</v>
      </c>
      <c r="M300" s="49" t="s">
        <v>7617</v>
      </c>
      <c r="N300" s="48">
        <v>46021</v>
      </c>
      <c r="O300" s="47"/>
      <c r="P300" s="50"/>
      <c r="Q300" s="47"/>
      <c r="R300" s="47"/>
    </row>
    <row r="301" spans="1:18" x14ac:dyDescent="0.25">
      <c r="A301" s="47">
        <f t="shared" si="8"/>
        <v>300</v>
      </c>
      <c r="B301" s="47" t="s">
        <v>7743</v>
      </c>
      <c r="C301" s="47" t="s">
        <v>7744</v>
      </c>
      <c r="D301" s="47" t="s">
        <v>7746</v>
      </c>
      <c r="E301" s="47" t="s">
        <v>7745</v>
      </c>
      <c r="F301" s="47" t="s">
        <v>67</v>
      </c>
      <c r="G301" s="47" t="s">
        <v>199</v>
      </c>
      <c r="H301" s="47" t="str">
        <f t="shared" si="9"/>
        <v>PULWAMA</v>
      </c>
      <c r="I301" s="47" t="s">
        <v>7751</v>
      </c>
      <c r="J301" s="48">
        <v>46021</v>
      </c>
      <c r="K301" s="47">
        <v>8493950437</v>
      </c>
      <c r="L301" s="47" t="s">
        <v>6521</v>
      </c>
      <c r="M301" s="49" t="s">
        <v>7715</v>
      </c>
      <c r="N301" s="48">
        <v>46046</v>
      </c>
      <c r="O301" s="47"/>
      <c r="P301" s="50"/>
      <c r="Q301" s="47"/>
      <c r="R301" s="47" t="s">
        <v>7768</v>
      </c>
    </row>
    <row r="302" spans="1:18" x14ac:dyDescent="0.25">
      <c r="A302" s="47">
        <f t="shared" si="8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8"/>
        <v>302</v>
      </c>
      <c r="B303" s="47" t="s">
        <v>7793</v>
      </c>
      <c r="C303" s="47" t="s">
        <v>7790</v>
      </c>
      <c r="D303" s="47" t="s">
        <v>7791</v>
      </c>
      <c r="E303" s="47" t="s">
        <v>7792</v>
      </c>
      <c r="F303" s="47" t="s">
        <v>100</v>
      </c>
      <c r="G303" s="47" t="s">
        <v>200</v>
      </c>
      <c r="H303" s="47" t="str">
        <f t="shared" si="9"/>
        <v>BUDGAM</v>
      </c>
      <c r="I303" s="55" t="s">
        <v>7847</v>
      </c>
      <c r="J303" s="48">
        <v>46022</v>
      </c>
      <c r="K303" s="47">
        <v>7780996739</v>
      </c>
      <c r="L303" s="47" t="s">
        <v>70</v>
      </c>
      <c r="M303" s="49"/>
      <c r="N303" s="48"/>
      <c r="O303" s="47" t="s">
        <v>23</v>
      </c>
      <c r="P303" s="50">
        <v>46027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7802</v>
      </c>
      <c r="C304" s="47" t="s">
        <v>7799</v>
      </c>
      <c r="D304" s="47" t="s">
        <v>7801</v>
      </c>
      <c r="E304" s="47" t="s">
        <v>7800</v>
      </c>
      <c r="F304" s="47" t="s">
        <v>119</v>
      </c>
      <c r="G304" s="47" t="s">
        <v>221</v>
      </c>
      <c r="H304" s="47" t="str">
        <f t="shared" si="9"/>
        <v>BUDGAM</v>
      </c>
      <c r="I304" s="47" t="s">
        <v>7810</v>
      </c>
      <c r="J304" s="48">
        <v>46022</v>
      </c>
      <c r="K304" s="47">
        <v>9596102065</v>
      </c>
      <c r="L304" s="47" t="s">
        <v>110</v>
      </c>
      <c r="M304" s="49" t="s">
        <v>8229</v>
      </c>
      <c r="N304" s="48">
        <v>46031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7806</v>
      </c>
      <c r="C305" s="47" t="s">
        <v>7803</v>
      </c>
      <c r="D305" s="47" t="s">
        <v>7804</v>
      </c>
      <c r="E305" s="47" t="s">
        <v>7805</v>
      </c>
      <c r="F305" s="47" t="s">
        <v>6829</v>
      </c>
      <c r="G305" s="47" t="s">
        <v>226</v>
      </c>
      <c r="H305" s="47" t="str">
        <f t="shared" si="9"/>
        <v>BUDGAM</v>
      </c>
      <c r="I305" s="47" t="s">
        <v>7811</v>
      </c>
      <c r="J305" s="48">
        <v>46022</v>
      </c>
      <c r="K305" s="47">
        <v>7889324122</v>
      </c>
      <c r="L305" s="47" t="s">
        <v>110</v>
      </c>
      <c r="M305" s="49" t="s">
        <v>7775</v>
      </c>
      <c r="N305" s="48">
        <v>46022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8658</v>
      </c>
    </row>
    <row r="307" spans="1:18" x14ac:dyDescent="0.25">
      <c r="A307" s="47">
        <f t="shared" si="8"/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 t="shared" si="9"/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 t="shared" si="9"/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8371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 t="shared" si="8"/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 t="shared" si="9"/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 t="shared" si="8"/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 t="shared" si="9"/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 t="shared" si="8"/>
        <v>310</v>
      </c>
      <c r="B311" s="47" t="s">
        <v>7856</v>
      </c>
      <c r="C311" s="47" t="s">
        <v>7857</v>
      </c>
      <c r="D311" s="47" t="s">
        <v>7858</v>
      </c>
      <c r="E311" s="47" t="s">
        <v>2841</v>
      </c>
      <c r="F311" s="47" t="s">
        <v>119</v>
      </c>
      <c r="G311" s="47" t="s">
        <v>200</v>
      </c>
      <c r="H311" s="47" t="str">
        <f t="shared" si="9"/>
        <v>BARAMULLA</v>
      </c>
      <c r="I311" s="55" t="s">
        <v>7866</v>
      </c>
      <c r="J311" s="48">
        <v>46023</v>
      </c>
      <c r="K311" s="47">
        <v>7006960324</v>
      </c>
      <c r="L311" s="47" t="s">
        <v>6683</v>
      </c>
      <c r="M311" s="49" t="s">
        <v>8017</v>
      </c>
      <c r="N311" s="48">
        <v>46044</v>
      </c>
      <c r="O311" s="47" t="s">
        <v>23</v>
      </c>
      <c r="P311" s="50">
        <v>46029</v>
      </c>
      <c r="Q311" s="51" t="s">
        <v>6460</v>
      </c>
      <c r="R311" s="47"/>
    </row>
    <row r="312" spans="1:18" x14ac:dyDescent="0.25">
      <c r="A312" s="47">
        <f t="shared" si="8"/>
        <v>311</v>
      </c>
      <c r="B312" s="47" t="s">
        <v>7862</v>
      </c>
      <c r="C312" s="47" t="s">
        <v>7863</v>
      </c>
      <c r="D312" s="47" t="s">
        <v>7864</v>
      </c>
      <c r="E312" s="47" t="s">
        <v>7865</v>
      </c>
      <c r="F312" s="47" t="s">
        <v>12</v>
      </c>
      <c r="G312" s="47" t="s">
        <v>200</v>
      </c>
      <c r="H312" s="47" t="str">
        <f t="shared" si="9"/>
        <v>BARAMULLA</v>
      </c>
      <c r="I312" s="55" t="s">
        <v>7867</v>
      </c>
      <c r="J312" s="48">
        <v>46023</v>
      </c>
      <c r="K312" s="47">
        <v>9906759399</v>
      </c>
      <c r="L312" s="47" t="s">
        <v>6683</v>
      </c>
      <c r="M312" s="49" t="s">
        <v>8017</v>
      </c>
      <c r="N312" s="48">
        <v>46044</v>
      </c>
      <c r="O312" s="47" t="s">
        <v>23</v>
      </c>
      <c r="P312" s="50">
        <v>46029</v>
      </c>
      <c r="Q312" s="47" t="s">
        <v>6460</v>
      </c>
      <c r="R312" s="47"/>
    </row>
    <row r="313" spans="1:18" x14ac:dyDescent="0.25">
      <c r="A313" s="47">
        <f t="shared" si="8"/>
        <v>312</v>
      </c>
      <c r="B313" s="47" t="s">
        <v>7873</v>
      </c>
      <c r="C313" s="47" t="s">
        <v>7883</v>
      </c>
      <c r="D313" s="47" t="s">
        <v>7884</v>
      </c>
      <c r="E313" s="47" t="s">
        <v>7885</v>
      </c>
      <c r="F313" s="47" t="s">
        <v>31</v>
      </c>
      <c r="G313" s="47" t="s">
        <v>199</v>
      </c>
      <c r="H313" s="47" t="str">
        <f t="shared" si="9"/>
        <v>BUDGAM</v>
      </c>
      <c r="I313" s="47" t="s">
        <v>7878</v>
      </c>
      <c r="J313" s="48">
        <v>46023</v>
      </c>
      <c r="K313" s="47">
        <v>8082623899</v>
      </c>
      <c r="L313" s="47" t="s">
        <v>48</v>
      </c>
      <c r="M313" s="49" t="s">
        <v>7773</v>
      </c>
      <c r="N313" s="48">
        <v>46027</v>
      </c>
      <c r="O313" s="47" t="s">
        <v>23</v>
      </c>
      <c r="P313" s="50">
        <v>46027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7874</v>
      </c>
      <c r="C314" s="47" t="s">
        <v>7875</v>
      </c>
      <c r="D314" s="47" t="s">
        <v>7876</v>
      </c>
      <c r="E314" s="47" t="s">
        <v>7877</v>
      </c>
      <c r="F314" s="47" t="s">
        <v>12</v>
      </c>
      <c r="G314" s="47" t="s">
        <v>181</v>
      </c>
      <c r="H314" s="47" t="str">
        <f t="shared" si="9"/>
        <v>SRINAGAR</v>
      </c>
      <c r="I314" s="47" t="s">
        <v>7891</v>
      </c>
      <c r="J314" s="48">
        <v>46023</v>
      </c>
      <c r="K314" s="47">
        <v>7889588496</v>
      </c>
      <c r="L314" s="47" t="s">
        <v>8241</v>
      </c>
      <c r="M314" s="49" t="s">
        <v>7773</v>
      </c>
      <c r="N314" s="48">
        <v>46027</v>
      </c>
      <c r="O314" s="47" t="s">
        <v>23</v>
      </c>
      <c r="P314" s="50">
        <v>46024</v>
      </c>
      <c r="Q314" s="47" t="s">
        <v>6460</v>
      </c>
      <c r="R314" s="47"/>
    </row>
    <row r="315" spans="1:18" x14ac:dyDescent="0.25">
      <c r="A315" s="47">
        <f t="shared" si="8"/>
        <v>314</v>
      </c>
      <c r="B315" s="47" t="s">
        <v>7886</v>
      </c>
      <c r="C315" s="47" t="s">
        <v>7888</v>
      </c>
      <c r="D315" s="47" t="s">
        <v>7889</v>
      </c>
      <c r="E315" s="47" t="s">
        <v>7890</v>
      </c>
      <c r="F315" s="47" t="s">
        <v>633</v>
      </c>
      <c r="G315" s="47" t="s">
        <v>199</v>
      </c>
      <c r="H315" s="47" t="str">
        <f t="shared" si="9"/>
        <v>SRINAGAR</v>
      </c>
      <c r="I315" s="47" t="s">
        <v>7893</v>
      </c>
      <c r="J315" s="48">
        <v>46023</v>
      </c>
      <c r="K315" s="47">
        <v>7006616090</v>
      </c>
      <c r="L315" s="47" t="s">
        <v>2248</v>
      </c>
      <c r="M315" s="49" t="s">
        <v>8164</v>
      </c>
      <c r="N315" s="48">
        <v>46029</v>
      </c>
      <c r="O315" s="47" t="s">
        <v>23</v>
      </c>
      <c r="P315" s="50">
        <v>46028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7833</v>
      </c>
      <c r="C316" s="47" t="s">
        <v>7830</v>
      </c>
      <c r="D316" s="47" t="s">
        <v>7831</v>
      </c>
      <c r="E316" s="47" t="s">
        <v>7832</v>
      </c>
      <c r="F316" s="47" t="s">
        <v>290</v>
      </c>
      <c r="G316" s="47" t="s">
        <v>200</v>
      </c>
      <c r="H316" s="47" t="str">
        <f t="shared" si="9"/>
        <v>SRINAGAR</v>
      </c>
      <c r="I316" s="55" t="s">
        <v>7850</v>
      </c>
      <c r="J316" s="48">
        <v>46023</v>
      </c>
      <c r="K316" s="47">
        <v>9906405123</v>
      </c>
      <c r="L316" s="47" t="s">
        <v>2248</v>
      </c>
      <c r="M316" s="49" t="s">
        <v>8164</v>
      </c>
      <c r="N316" s="48">
        <v>46029</v>
      </c>
      <c r="O316" s="47" t="s">
        <v>6445</v>
      </c>
      <c r="P316" s="50"/>
      <c r="Q316" s="47"/>
      <c r="R316" s="47"/>
    </row>
    <row r="317" spans="1:18" x14ac:dyDescent="0.25">
      <c r="A317" s="47">
        <f t="shared" si="8"/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/>
      <c r="P317" s="50"/>
      <c r="Q317" s="47"/>
      <c r="R317" s="47"/>
    </row>
    <row r="318" spans="1:18" x14ac:dyDescent="0.25">
      <c r="A318" s="47">
        <f t="shared" si="8"/>
        <v>317</v>
      </c>
      <c r="B318" s="47" t="s">
        <v>7842</v>
      </c>
      <c r="C318" s="47" t="s">
        <v>7843</v>
      </c>
      <c r="D318" s="47" t="s">
        <v>7844</v>
      </c>
      <c r="E318" s="47" t="s">
        <v>2915</v>
      </c>
      <c r="F318" s="47" t="s">
        <v>193</v>
      </c>
      <c r="G318" s="47" t="s">
        <v>6440</v>
      </c>
      <c r="H318" s="47" t="str">
        <f t="shared" si="9"/>
        <v>SRINAGAR</v>
      </c>
      <c r="I318" s="55" t="s">
        <v>7861</v>
      </c>
      <c r="J318" s="48">
        <v>46023</v>
      </c>
      <c r="K318" s="47">
        <v>9596187640</v>
      </c>
      <c r="L318" s="47" t="s">
        <v>48</v>
      </c>
      <c r="M318" s="49" t="s">
        <v>7773</v>
      </c>
      <c r="N318" s="48">
        <v>46027</v>
      </c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7868</v>
      </c>
      <c r="C319" s="47" t="s">
        <v>7869</v>
      </c>
      <c r="D319" s="47" t="s">
        <v>7870</v>
      </c>
      <c r="E319" s="47" t="s">
        <v>7871</v>
      </c>
      <c r="F319" s="47" t="s">
        <v>119</v>
      </c>
      <c r="G319" s="47" t="s">
        <v>174</v>
      </c>
      <c r="H319" s="47" t="str">
        <f t="shared" si="9"/>
        <v>BUDGAM</v>
      </c>
      <c r="I319" s="55" t="s">
        <v>7879</v>
      </c>
      <c r="J319" s="48">
        <v>46023</v>
      </c>
      <c r="K319" s="47">
        <v>9596167274</v>
      </c>
      <c r="L319" s="47" t="s">
        <v>7872</v>
      </c>
      <c r="M319" s="49"/>
      <c r="N319" s="48"/>
      <c r="O319" s="47"/>
      <c r="P319" s="50"/>
      <c r="Q319" s="47"/>
      <c r="R319" s="47"/>
    </row>
    <row r="320" spans="1:18" x14ac:dyDescent="0.25">
      <c r="A320" s="47">
        <f t="shared" si="8"/>
        <v>319</v>
      </c>
      <c r="B320" s="47" t="s">
        <v>7887</v>
      </c>
      <c r="C320" s="47" t="s">
        <v>7880</v>
      </c>
      <c r="D320" s="47" t="s">
        <v>7881</v>
      </c>
      <c r="E320" s="47" t="s">
        <v>7882</v>
      </c>
      <c r="F320" s="47" t="s">
        <v>290</v>
      </c>
      <c r="G320" s="47" t="s">
        <v>200</v>
      </c>
      <c r="H320" s="47" t="str">
        <f t="shared" si="9"/>
        <v>SRINAGAR</v>
      </c>
      <c r="I320" s="47" t="s">
        <v>7892</v>
      </c>
      <c r="J320" s="48">
        <v>46023</v>
      </c>
      <c r="K320" s="47">
        <v>7006759527</v>
      </c>
      <c r="L320" s="47" t="s">
        <v>8240</v>
      </c>
      <c r="M320" s="49"/>
      <c r="N320" s="48"/>
      <c r="O320" s="47"/>
      <c r="P320" s="50"/>
      <c r="Q320" s="47"/>
      <c r="R320" s="47" t="s">
        <v>7941</v>
      </c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 t="s">
        <v>23</v>
      </c>
      <c r="P321" s="50">
        <v>46058</v>
      </c>
      <c r="Q321" s="47" t="s">
        <v>6460</v>
      </c>
      <c r="R321" s="47"/>
    </row>
    <row r="322" spans="1:18" x14ac:dyDescent="0.25">
      <c r="A322" s="47">
        <f t="shared" ref="A322:A385" si="10">ROW()-1</f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 t="shared" si="10"/>
        <v>323</v>
      </c>
      <c r="B324" s="47" t="s">
        <v>7934</v>
      </c>
      <c r="C324" s="47" t="s">
        <v>7930</v>
      </c>
      <c r="D324" s="47" t="s">
        <v>7931</v>
      </c>
      <c r="E324" s="47" t="s">
        <v>7932</v>
      </c>
      <c r="F324" s="47" t="s">
        <v>5</v>
      </c>
      <c r="G324" s="47" t="s">
        <v>200</v>
      </c>
      <c r="H324" s="47" t="str">
        <f t="shared" si="11"/>
        <v>SRINAGAR</v>
      </c>
      <c r="I324" s="47" t="s">
        <v>7933</v>
      </c>
      <c r="J324" s="48">
        <v>46024</v>
      </c>
      <c r="K324" s="47">
        <v>7006197341</v>
      </c>
      <c r="L324" s="47" t="s">
        <v>1126</v>
      </c>
      <c r="M324" s="49" t="s">
        <v>7775</v>
      </c>
      <c r="N324" s="48">
        <v>46028</v>
      </c>
      <c r="O324" s="47" t="s">
        <v>23</v>
      </c>
      <c r="P324" s="50">
        <v>46027</v>
      </c>
      <c r="Q324" s="47" t="s">
        <v>6460</v>
      </c>
      <c r="R324" s="47"/>
    </row>
    <row r="325" spans="1:18" x14ac:dyDescent="0.25">
      <c r="A325" s="47">
        <f t="shared" si="10"/>
        <v>324</v>
      </c>
      <c r="B325" s="47" t="s">
        <v>7946</v>
      </c>
      <c r="C325" s="47" t="s">
        <v>7947</v>
      </c>
      <c r="D325" s="47" t="s">
        <v>7948</v>
      </c>
      <c r="E325" s="47" t="s">
        <v>7949</v>
      </c>
      <c r="F325" s="47" t="s">
        <v>31</v>
      </c>
      <c r="G325" s="47" t="s">
        <v>200</v>
      </c>
      <c r="H325" s="47" t="str">
        <f t="shared" si="11"/>
        <v>SRINAGAR</v>
      </c>
      <c r="I325" s="47" t="s">
        <v>8015</v>
      </c>
      <c r="J325" s="48">
        <v>46024</v>
      </c>
      <c r="K325" s="47">
        <v>9419004025</v>
      </c>
      <c r="L325" s="47" t="s">
        <v>6832</v>
      </c>
      <c r="M325" s="49" t="s">
        <v>8236</v>
      </c>
      <c r="N325" s="48">
        <v>46034</v>
      </c>
      <c r="O325" s="47" t="s">
        <v>23</v>
      </c>
      <c r="P325" s="50">
        <v>46026</v>
      </c>
      <c r="Q325" s="47" t="s">
        <v>6460</v>
      </c>
      <c r="R325" s="47"/>
    </row>
    <row r="326" spans="1:18" x14ac:dyDescent="0.25">
      <c r="A326" s="47">
        <f t="shared" si="10"/>
        <v>325</v>
      </c>
      <c r="B326" s="47" t="s">
        <v>7902</v>
      </c>
      <c r="C326" s="47" t="s">
        <v>7919</v>
      </c>
      <c r="D326" s="47" t="s">
        <v>7920</v>
      </c>
      <c r="E326" s="47" t="s">
        <v>7921</v>
      </c>
      <c r="F326" s="47" t="s">
        <v>5</v>
      </c>
      <c r="G326" s="47" t="s">
        <v>199</v>
      </c>
      <c r="H326" s="47" t="str">
        <f t="shared" si="11"/>
        <v>BANDIPORA</v>
      </c>
      <c r="I326" s="47" t="s">
        <v>7922</v>
      </c>
      <c r="J326" s="48">
        <v>46024</v>
      </c>
      <c r="K326" s="47">
        <v>9906605048</v>
      </c>
      <c r="L326" s="47" t="s">
        <v>307</v>
      </c>
      <c r="M326" s="49" t="s">
        <v>8093</v>
      </c>
      <c r="N326" s="48">
        <v>46028</v>
      </c>
      <c r="O326" s="47"/>
      <c r="P326" s="50"/>
      <c r="Q326" s="47"/>
      <c r="R326" s="47"/>
    </row>
    <row r="327" spans="1:18" x14ac:dyDescent="0.25">
      <c r="A327" s="47">
        <f t="shared" si="10"/>
        <v>326</v>
      </c>
      <c r="B327" s="47" t="s">
        <v>7903</v>
      </c>
      <c r="C327" s="47" t="s">
        <v>7904</v>
      </c>
      <c r="D327" s="47" t="s">
        <v>7905</v>
      </c>
      <c r="E327" s="47" t="s">
        <v>7906</v>
      </c>
      <c r="F327" s="47" t="s">
        <v>100</v>
      </c>
      <c r="G327" s="47" t="s">
        <v>200</v>
      </c>
      <c r="H327" s="47" t="str">
        <f t="shared" si="11"/>
        <v>SRINAGAR</v>
      </c>
      <c r="I327" s="47" t="s">
        <v>7925</v>
      </c>
      <c r="J327" s="48">
        <v>46024</v>
      </c>
      <c r="K327" s="47">
        <v>9906473272</v>
      </c>
      <c r="L327" s="47" t="s">
        <v>70</v>
      </c>
      <c r="M327" s="49" t="s">
        <v>8223</v>
      </c>
      <c r="N327" s="48">
        <v>46025</v>
      </c>
      <c r="O327" s="47"/>
      <c r="P327" s="50"/>
      <c r="Q327" s="47"/>
      <c r="R327" s="47"/>
    </row>
    <row r="328" spans="1:18" x14ac:dyDescent="0.25">
      <c r="A328" s="47">
        <f t="shared" si="10"/>
        <v>327</v>
      </c>
      <c r="B328" s="47" t="s">
        <v>7907</v>
      </c>
      <c r="C328" s="47" t="s">
        <v>7908</v>
      </c>
      <c r="D328" s="47" t="s">
        <v>7909</v>
      </c>
      <c r="E328" s="47" t="s">
        <v>7910</v>
      </c>
      <c r="F328" s="47" t="s">
        <v>119</v>
      </c>
      <c r="G328" s="47" t="s">
        <v>200</v>
      </c>
      <c r="H328" s="47" t="str">
        <f t="shared" si="11"/>
        <v>SRINAGAR</v>
      </c>
      <c r="I328" s="47" t="s">
        <v>7924</v>
      </c>
      <c r="J328" s="48">
        <v>46024</v>
      </c>
      <c r="K328" s="47">
        <v>9906786675</v>
      </c>
      <c r="L328" s="47" t="s">
        <v>70</v>
      </c>
      <c r="M328" s="49" t="s">
        <v>7617</v>
      </c>
      <c r="N328" s="48">
        <v>46029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7942</v>
      </c>
      <c r="C330" s="47" t="s">
        <v>7943</v>
      </c>
      <c r="D330" s="47" t="s">
        <v>7944</v>
      </c>
      <c r="E330" s="47" t="s">
        <v>7945</v>
      </c>
      <c r="F330" s="47" t="s">
        <v>12</v>
      </c>
      <c r="G330" s="47" t="s">
        <v>181</v>
      </c>
      <c r="H330" s="47" t="str">
        <f t="shared" si="11"/>
        <v>SRINAGAR</v>
      </c>
      <c r="I330" s="47" t="s">
        <v>7998</v>
      </c>
      <c r="J330" s="48">
        <v>46024</v>
      </c>
      <c r="K330" s="47">
        <v>9906730950</v>
      </c>
      <c r="L330" s="47" t="s">
        <v>194</v>
      </c>
      <c r="M330" s="49" t="s">
        <v>7595</v>
      </c>
      <c r="N330" s="48">
        <v>46028</v>
      </c>
      <c r="O330" s="47"/>
      <c r="P330" s="50"/>
      <c r="Q330" s="47"/>
      <c r="R330" s="47"/>
    </row>
    <row r="331" spans="1:18" x14ac:dyDescent="0.25">
      <c r="A331" s="47">
        <f t="shared" si="10"/>
        <v>330</v>
      </c>
      <c r="B331" s="47" t="s">
        <v>7911</v>
      </c>
      <c r="C331" s="47" t="s">
        <v>7912</v>
      </c>
      <c r="D331" s="47" t="s">
        <v>7913</v>
      </c>
      <c r="E331" s="47" t="s">
        <v>7914</v>
      </c>
      <c r="F331" s="47" t="s">
        <v>486</v>
      </c>
      <c r="G331" s="47" t="s">
        <v>199</v>
      </c>
      <c r="H331" s="47" t="str">
        <f t="shared" si="11"/>
        <v>SHOPIAN</v>
      </c>
      <c r="I331" s="47" t="s">
        <v>7955</v>
      </c>
      <c r="J331" s="48">
        <v>46024</v>
      </c>
      <c r="K331" s="47">
        <v>7780943149</v>
      </c>
      <c r="L331" s="47" t="s">
        <v>6570</v>
      </c>
      <c r="M331" s="49" t="s">
        <v>7294</v>
      </c>
      <c r="N331" s="48">
        <v>46035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7935</v>
      </c>
      <c r="C332" s="47" t="s">
        <v>7927</v>
      </c>
      <c r="D332" s="47" t="s">
        <v>7928</v>
      </c>
      <c r="E332" s="47" t="s">
        <v>7929</v>
      </c>
      <c r="F332" s="47" t="s">
        <v>31</v>
      </c>
      <c r="G332" s="47" t="s">
        <v>199</v>
      </c>
      <c r="H332" s="47" t="str">
        <f t="shared" si="11"/>
        <v>SRINAGAR</v>
      </c>
      <c r="I332" s="47" t="s">
        <v>7936</v>
      </c>
      <c r="J332" s="48">
        <v>46024</v>
      </c>
      <c r="K332" s="47">
        <v>9149695812</v>
      </c>
      <c r="L332" s="47" t="s">
        <v>6521</v>
      </c>
      <c r="M332" s="49" t="s">
        <v>7715</v>
      </c>
      <c r="N332" s="48">
        <v>46050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7977</v>
      </c>
      <c r="C333" s="47" t="s">
        <v>7971</v>
      </c>
      <c r="D333" s="47" t="s">
        <v>7972</v>
      </c>
      <c r="E333" s="47" t="s">
        <v>7973</v>
      </c>
      <c r="F333" s="47" t="s">
        <v>7974</v>
      </c>
      <c r="G333" s="47" t="s">
        <v>200</v>
      </c>
      <c r="H333" s="47" t="str">
        <f t="shared" si="11"/>
        <v>SRINAGAR</v>
      </c>
      <c r="I333" s="47" t="s">
        <v>7975</v>
      </c>
      <c r="J333" s="48">
        <v>46025</v>
      </c>
      <c r="K333" s="47">
        <v>9149592772</v>
      </c>
      <c r="L333" s="47" t="s">
        <v>194</v>
      </c>
      <c r="M333" s="49" t="s">
        <v>7595</v>
      </c>
      <c r="N333" s="48">
        <v>46028</v>
      </c>
      <c r="O333" s="47" t="s">
        <v>23</v>
      </c>
      <c r="P333" s="50">
        <v>46029</v>
      </c>
      <c r="Q333" s="47" t="s">
        <v>6460</v>
      </c>
      <c r="R333" s="47"/>
    </row>
    <row r="334" spans="1:18" x14ac:dyDescent="0.25">
      <c r="A334" s="47">
        <f t="shared" si="10"/>
        <v>333</v>
      </c>
      <c r="B334" s="47" t="s">
        <v>7981</v>
      </c>
      <c r="C334" s="47" t="s">
        <v>7978</v>
      </c>
      <c r="D334" s="47" t="s">
        <v>7979</v>
      </c>
      <c r="E334" s="47" t="s">
        <v>7980</v>
      </c>
      <c r="F334" s="47" t="s">
        <v>290</v>
      </c>
      <c r="G334" s="47" t="s">
        <v>200</v>
      </c>
      <c r="H334" s="47" t="str">
        <f t="shared" si="11"/>
        <v>SRINAGAR</v>
      </c>
      <c r="I334" s="47" t="s">
        <v>7982</v>
      </c>
      <c r="J334" s="48">
        <v>46025</v>
      </c>
      <c r="K334" s="47">
        <v>9149592772</v>
      </c>
      <c r="L334" s="47" t="s">
        <v>48</v>
      </c>
      <c r="M334" s="49" t="s">
        <v>7773</v>
      </c>
      <c r="N334" s="48">
        <v>46027</v>
      </c>
      <c r="O334" s="47" t="s">
        <v>23</v>
      </c>
      <c r="P334" s="50">
        <v>46055</v>
      </c>
      <c r="Q334" s="47" t="s">
        <v>6460</v>
      </c>
      <c r="R334" s="47"/>
    </row>
    <row r="335" spans="1:18" x14ac:dyDescent="0.25">
      <c r="A335" s="47">
        <f t="shared" si="10"/>
        <v>334</v>
      </c>
      <c r="B335" s="47" t="s">
        <v>7985</v>
      </c>
      <c r="C335" s="47" t="s">
        <v>7983</v>
      </c>
      <c r="D335" s="47" t="s">
        <v>7984</v>
      </c>
      <c r="E335" s="47" t="s">
        <v>4284</v>
      </c>
      <c r="F335" s="47" t="s">
        <v>193</v>
      </c>
      <c r="G335" s="47" t="s">
        <v>199</v>
      </c>
      <c r="H335" s="47" t="str">
        <f t="shared" si="11"/>
        <v>SRINAGAR</v>
      </c>
      <c r="I335" s="47" t="s">
        <v>7986</v>
      </c>
      <c r="J335" s="48">
        <v>46025</v>
      </c>
      <c r="K335" s="47">
        <v>8899926488</v>
      </c>
      <c r="L335" s="47" t="s">
        <v>106</v>
      </c>
      <c r="M335" s="49" t="s">
        <v>7601</v>
      </c>
      <c r="N335" s="48">
        <v>46027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 t="shared" si="10"/>
        <v>335</v>
      </c>
      <c r="B336" s="47" t="s">
        <v>7990</v>
      </c>
      <c r="C336" s="47" t="s">
        <v>7987</v>
      </c>
      <c r="D336" s="47" t="s">
        <v>7988</v>
      </c>
      <c r="E336" s="47" t="s">
        <v>7989</v>
      </c>
      <c r="F336" s="47" t="s">
        <v>31</v>
      </c>
      <c r="G336" s="47" t="s">
        <v>175</v>
      </c>
      <c r="H336" s="47" t="str">
        <f t="shared" si="11"/>
        <v>SRINAGAR</v>
      </c>
      <c r="I336" s="47" t="s">
        <v>7991</v>
      </c>
      <c r="J336" s="48">
        <v>46025</v>
      </c>
      <c r="K336" s="47">
        <v>9596382727</v>
      </c>
      <c r="L336" s="47" t="s">
        <v>106</v>
      </c>
      <c r="M336" s="49" t="s">
        <v>7601</v>
      </c>
      <c r="N336" s="48">
        <v>46027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 t="shared" si="10"/>
        <v>336</v>
      </c>
      <c r="B337" s="47" t="s">
        <v>8003</v>
      </c>
      <c r="C337" s="47" t="s">
        <v>8004</v>
      </c>
      <c r="D337" s="47" t="s">
        <v>8005</v>
      </c>
      <c r="E337" s="47" t="s">
        <v>8006</v>
      </c>
      <c r="F337" s="47" t="s">
        <v>31</v>
      </c>
      <c r="G337" s="47" t="s">
        <v>199</v>
      </c>
      <c r="H337" s="47" t="str">
        <f t="shared" si="11"/>
        <v>SRINAGAR</v>
      </c>
      <c r="I337" s="47" t="s">
        <v>8007</v>
      </c>
      <c r="J337" s="48">
        <v>46025</v>
      </c>
      <c r="K337" s="47">
        <v>7889441591</v>
      </c>
      <c r="L337" s="47" t="s">
        <v>110</v>
      </c>
      <c r="M337" s="49" t="s">
        <v>8227</v>
      </c>
      <c r="N337" s="48">
        <v>46031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 t="shared" si="10"/>
        <v>337</v>
      </c>
      <c r="B338" s="47" t="s">
        <v>8008</v>
      </c>
      <c r="C338" s="47" t="s">
        <v>8009</v>
      </c>
      <c r="D338" s="47" t="s">
        <v>8011</v>
      </c>
      <c r="E338" s="47" t="s">
        <v>8010</v>
      </c>
      <c r="F338" s="47" t="s">
        <v>119</v>
      </c>
      <c r="G338" s="47" t="s">
        <v>174</v>
      </c>
      <c r="H338" s="47" t="str">
        <f t="shared" si="11"/>
        <v>SRINAGAR</v>
      </c>
      <c r="I338" s="47" t="s">
        <v>8012</v>
      </c>
      <c r="J338" s="48">
        <v>46025</v>
      </c>
      <c r="K338" s="47">
        <v>7006441266</v>
      </c>
      <c r="L338" s="47" t="s">
        <v>43</v>
      </c>
      <c r="M338" s="49" t="s">
        <v>7617</v>
      </c>
      <c r="N338" s="48">
        <v>46029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7970</v>
      </c>
      <c r="C339" s="47" t="s">
        <v>7967</v>
      </c>
      <c r="D339" s="47" t="s">
        <v>7968</v>
      </c>
      <c r="E339" s="47" t="s">
        <v>7969</v>
      </c>
      <c r="F339" s="47" t="s">
        <v>5</v>
      </c>
      <c r="G339" s="47" t="s">
        <v>199</v>
      </c>
      <c r="H339" s="47" t="str">
        <f t="shared" si="11"/>
        <v>SHOPIAN</v>
      </c>
      <c r="I339" s="47" t="s">
        <v>7976</v>
      </c>
      <c r="J339" s="48">
        <v>46025</v>
      </c>
      <c r="K339" s="47">
        <v>9103275011</v>
      </c>
      <c r="L339" s="47" t="s">
        <v>6570</v>
      </c>
      <c r="M339" s="49" t="s">
        <v>7294</v>
      </c>
      <c r="N339" s="48">
        <v>46034</v>
      </c>
      <c r="O339" s="47"/>
      <c r="P339" s="50"/>
      <c r="Q339" s="47"/>
      <c r="R339" s="47"/>
    </row>
    <row r="340" spans="1:18" x14ac:dyDescent="0.25">
      <c r="A340" s="47">
        <f t="shared" si="10"/>
        <v>339</v>
      </c>
      <c r="B340" s="47" t="s">
        <v>8026</v>
      </c>
      <c r="C340" s="47" t="s">
        <v>8027</v>
      </c>
      <c r="D340" s="47" t="s">
        <v>8028</v>
      </c>
      <c r="E340" s="47" t="s">
        <v>8029</v>
      </c>
      <c r="F340" s="47" t="s">
        <v>1686</v>
      </c>
      <c r="G340" s="47" t="s">
        <v>199</v>
      </c>
      <c r="H340" s="47" t="str">
        <f t="shared" si="11"/>
        <v>SRINAGAR</v>
      </c>
      <c r="I340" s="47" t="s">
        <v>8031</v>
      </c>
      <c r="J340" s="48">
        <v>46025</v>
      </c>
      <c r="K340" s="47">
        <v>7051417712</v>
      </c>
      <c r="L340" s="47" t="s">
        <v>6451</v>
      </c>
      <c r="M340" s="49" t="s">
        <v>8239</v>
      </c>
      <c r="N340" s="48">
        <v>46032</v>
      </c>
      <c r="O340" s="47"/>
      <c r="P340" s="50"/>
      <c r="Q340" s="47"/>
      <c r="R340" s="47"/>
    </row>
    <row r="341" spans="1:18" x14ac:dyDescent="0.25">
      <c r="A341" s="47">
        <f t="shared" si="10"/>
        <v>340</v>
      </c>
      <c r="B341" s="47" t="s">
        <v>7965</v>
      </c>
      <c r="C341" s="47" t="s">
        <v>7962</v>
      </c>
      <c r="D341" s="47" t="s">
        <v>7963</v>
      </c>
      <c r="E341" s="47" t="s">
        <v>7964</v>
      </c>
      <c r="F341" s="47" t="s">
        <v>119</v>
      </c>
      <c r="G341" s="47" t="s">
        <v>200</v>
      </c>
      <c r="H341" s="47" t="str">
        <f t="shared" si="11"/>
        <v>PULWAMA</v>
      </c>
      <c r="I341" s="47" t="s">
        <v>7966</v>
      </c>
      <c r="J341" s="48">
        <v>46025</v>
      </c>
      <c r="K341" s="47">
        <v>7006861153</v>
      </c>
      <c r="L341" s="47" t="s">
        <v>6521</v>
      </c>
      <c r="M341" s="49" t="s">
        <v>7672</v>
      </c>
      <c r="N341" s="48">
        <v>46030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7961</v>
      </c>
      <c r="C342" s="47" t="s">
        <v>7956</v>
      </c>
      <c r="D342" s="47" t="s">
        <v>7957</v>
      </c>
      <c r="E342" s="47" t="s">
        <v>7958</v>
      </c>
      <c r="F342" s="47" t="s">
        <v>119</v>
      </c>
      <c r="G342" s="47" t="s">
        <v>200</v>
      </c>
      <c r="H342" s="47" t="str">
        <f t="shared" si="11"/>
        <v>PULWAMA</v>
      </c>
      <c r="I342" s="47" t="s">
        <v>7960</v>
      </c>
      <c r="J342" s="48">
        <v>46025</v>
      </c>
      <c r="K342" s="47">
        <v>9682505719</v>
      </c>
      <c r="L342" s="47" t="s">
        <v>7959</v>
      </c>
      <c r="M342" s="49" t="s">
        <v>7294</v>
      </c>
      <c r="N342" s="48">
        <v>46035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7996</v>
      </c>
      <c r="C343" s="47" t="s">
        <v>7992</v>
      </c>
      <c r="D343" s="47" t="s">
        <v>7993</v>
      </c>
      <c r="E343" s="47" t="s">
        <v>7994</v>
      </c>
      <c r="F343" s="47" t="s">
        <v>31</v>
      </c>
      <c r="G343" s="47" t="s">
        <v>175</v>
      </c>
      <c r="H343" s="47" t="str">
        <f t="shared" si="11"/>
        <v>SRINAGAR</v>
      </c>
      <c r="I343" s="47" t="s">
        <v>7995</v>
      </c>
      <c r="J343" s="48">
        <v>46025</v>
      </c>
      <c r="K343" s="47">
        <v>9906863125</v>
      </c>
      <c r="L343" s="47" t="s">
        <v>2172</v>
      </c>
      <c r="M343" s="49" t="s">
        <v>7714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7997</v>
      </c>
      <c r="C344" s="47" t="s">
        <v>7999</v>
      </c>
      <c r="D344" s="47" t="s">
        <v>8000</v>
      </c>
      <c r="E344" s="47" t="s">
        <v>8001</v>
      </c>
      <c r="F344" s="47" t="s">
        <v>125</v>
      </c>
      <c r="G344" s="47" t="s">
        <v>174</v>
      </c>
      <c r="H344" s="47" t="str">
        <f t="shared" si="11"/>
        <v>SRINAGAR</v>
      </c>
      <c r="I344" s="47" t="s">
        <v>8002</v>
      </c>
      <c r="J344" s="48">
        <v>46025</v>
      </c>
      <c r="K344" s="47">
        <v>9419004044</v>
      </c>
      <c r="L344" s="47" t="s">
        <v>48</v>
      </c>
      <c r="M344" s="49" t="s">
        <v>7775</v>
      </c>
      <c r="N344" s="48">
        <v>46032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 t="shared" si="11"/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 t="shared" si="11"/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8034</v>
      </c>
      <c r="C348" s="47" t="s">
        <v>8032</v>
      </c>
      <c r="D348" s="47" t="s">
        <v>8033</v>
      </c>
      <c r="E348" s="47" t="s">
        <v>6433</v>
      </c>
      <c r="F348" s="47" t="s">
        <v>7401</v>
      </c>
      <c r="G348" s="47" t="s">
        <v>200</v>
      </c>
      <c r="H348" s="47" t="str">
        <f t="shared" si="11"/>
        <v>BARAMULLA</v>
      </c>
      <c r="I348" s="47" t="s">
        <v>8080</v>
      </c>
      <c r="J348" s="48">
        <v>46027</v>
      </c>
      <c r="K348" s="47">
        <v>7298545112</v>
      </c>
      <c r="L348" s="47" t="s">
        <v>26</v>
      </c>
      <c r="M348" s="49" t="s">
        <v>7616</v>
      </c>
      <c r="N348" s="48">
        <v>46036</v>
      </c>
      <c r="O348" s="47" t="s">
        <v>23</v>
      </c>
      <c r="P348" s="50">
        <v>46036</v>
      </c>
      <c r="Q348" s="47" t="s">
        <v>6460</v>
      </c>
      <c r="R348" s="47"/>
    </row>
    <row r="349" spans="1:18" x14ac:dyDescent="0.25">
      <c r="A349" s="47">
        <f t="shared" si="10"/>
        <v>348</v>
      </c>
      <c r="B349" s="47" t="s">
        <v>8045</v>
      </c>
      <c r="C349" s="47" t="s">
        <v>8042</v>
      </c>
      <c r="D349" s="47" t="s">
        <v>8043</v>
      </c>
      <c r="E349" s="47" t="s">
        <v>8044</v>
      </c>
      <c r="F349" s="47" t="s">
        <v>31</v>
      </c>
      <c r="G349" s="47" t="s">
        <v>199</v>
      </c>
      <c r="H349" s="47" t="str">
        <f t="shared" si="11"/>
        <v>JAMMU</v>
      </c>
      <c r="I349" s="47" t="s">
        <v>8085</v>
      </c>
      <c r="J349" s="48">
        <v>46027</v>
      </c>
      <c r="K349" s="47">
        <v>9906284454</v>
      </c>
      <c r="L349" s="47" t="s">
        <v>2172</v>
      </c>
      <c r="M349" s="49" t="s">
        <v>8164</v>
      </c>
      <c r="N349" s="48">
        <v>46029</v>
      </c>
      <c r="O349" s="47" t="s">
        <v>23</v>
      </c>
      <c r="P349" s="50">
        <v>46029</v>
      </c>
      <c r="Q349" s="47" t="s">
        <v>6460</v>
      </c>
      <c r="R349" s="47"/>
    </row>
    <row r="350" spans="1:18" x14ac:dyDescent="0.25">
      <c r="A350" s="47">
        <f t="shared" si="10"/>
        <v>349</v>
      </c>
      <c r="B350" s="47" t="s">
        <v>8046</v>
      </c>
      <c r="C350" s="47" t="s">
        <v>8047</v>
      </c>
      <c r="D350" s="47" t="s">
        <v>8048</v>
      </c>
      <c r="E350" s="47" t="s">
        <v>8049</v>
      </c>
      <c r="F350" s="47" t="s">
        <v>119</v>
      </c>
      <c r="G350" s="47" t="s">
        <v>175</v>
      </c>
      <c r="H350" s="47" t="str">
        <f t="shared" si="11"/>
        <v>SRINAGAR</v>
      </c>
      <c r="I350" s="47" t="s">
        <v>8090</v>
      </c>
      <c r="J350" s="48">
        <v>46027</v>
      </c>
      <c r="K350" s="47">
        <v>9070111588</v>
      </c>
      <c r="L350" s="47" t="s">
        <v>194</v>
      </c>
      <c r="M350" s="49" t="s">
        <v>7595</v>
      </c>
      <c r="N350" s="48">
        <v>46029</v>
      </c>
      <c r="O350" s="47" t="s">
        <v>23</v>
      </c>
      <c r="P350" s="50">
        <v>46027</v>
      </c>
      <c r="Q350" s="47" t="s">
        <v>6460</v>
      </c>
      <c r="R350" s="47"/>
    </row>
    <row r="351" spans="1:18" x14ac:dyDescent="0.25">
      <c r="A351" s="47">
        <f t="shared" si="10"/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 t="shared" si="10"/>
        <v>351</v>
      </c>
      <c r="B352" s="47" t="s">
        <v>8063</v>
      </c>
      <c r="C352" s="47" t="s">
        <v>8064</v>
      </c>
      <c r="D352" s="47" t="s">
        <v>8065</v>
      </c>
      <c r="E352" s="47" t="s">
        <v>8066</v>
      </c>
      <c r="F352" s="47" t="s">
        <v>119</v>
      </c>
      <c r="G352" s="47" t="s">
        <v>200</v>
      </c>
      <c r="H352" s="47" t="str">
        <f t="shared" si="11"/>
        <v>SHOPIAN</v>
      </c>
      <c r="I352" s="47" t="s">
        <v>8088</v>
      </c>
      <c r="J352" s="48">
        <v>46027</v>
      </c>
      <c r="K352" s="47">
        <v>9797071432</v>
      </c>
      <c r="L352" s="47" t="s">
        <v>6540</v>
      </c>
      <c r="M352" s="49" t="s">
        <v>7616</v>
      </c>
      <c r="N352" s="48">
        <v>46034</v>
      </c>
      <c r="O352" s="47" t="s">
        <v>23</v>
      </c>
      <c r="P352" s="50">
        <v>46028</v>
      </c>
      <c r="Q352" s="47" t="s">
        <v>6460</v>
      </c>
      <c r="R352" s="47" t="s">
        <v>8123</v>
      </c>
    </row>
    <row r="353" spans="1:18" x14ac:dyDescent="0.25">
      <c r="A353" s="47">
        <f t="shared" si="10"/>
        <v>352</v>
      </c>
      <c r="B353" s="47" t="s">
        <v>8071</v>
      </c>
      <c r="C353" s="47" t="s">
        <v>8072</v>
      </c>
      <c r="D353" s="47" t="s">
        <v>8073</v>
      </c>
      <c r="E353" s="47" t="s">
        <v>8074</v>
      </c>
      <c r="F353" s="47" t="s">
        <v>31</v>
      </c>
      <c r="G353" s="47" t="s">
        <v>199</v>
      </c>
      <c r="H353" s="47" t="str">
        <f t="shared" si="11"/>
        <v>KISHTWAR</v>
      </c>
      <c r="I353" s="47" t="s">
        <v>8087</v>
      </c>
      <c r="J353" s="48">
        <v>46027</v>
      </c>
      <c r="K353" s="47">
        <v>6005254071</v>
      </c>
      <c r="L353" s="47" t="s">
        <v>194</v>
      </c>
      <c r="M353" s="49" t="s">
        <v>7595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8041</v>
      </c>
      <c r="C354" s="47" t="s">
        <v>8039</v>
      </c>
      <c r="D354" s="47" t="s">
        <v>8040</v>
      </c>
      <c r="E354" s="47" t="s">
        <v>556</v>
      </c>
      <c r="F354" s="47" t="s">
        <v>119</v>
      </c>
      <c r="G354" s="47" t="s">
        <v>200</v>
      </c>
      <c r="H354" s="47" t="str">
        <f t="shared" si="11"/>
        <v>PULWAMA</v>
      </c>
      <c r="I354" s="47" t="s">
        <v>8082</v>
      </c>
      <c r="J354" s="48">
        <v>46027</v>
      </c>
      <c r="K354" s="47">
        <v>7780961447</v>
      </c>
      <c r="L354" s="47" t="s">
        <v>6521</v>
      </c>
      <c r="M354" s="49" t="s">
        <v>7715</v>
      </c>
      <c r="N354" s="48">
        <v>46041</v>
      </c>
      <c r="O354" s="47"/>
      <c r="P354" s="50"/>
      <c r="Q354" s="47"/>
      <c r="R354" s="47"/>
    </row>
    <row r="355" spans="1:18" x14ac:dyDescent="0.25">
      <c r="A355" s="47">
        <f t="shared" si="10"/>
        <v>354</v>
      </c>
      <c r="B355" s="47" t="s">
        <v>8058</v>
      </c>
      <c r="C355" s="47" t="s">
        <v>8055</v>
      </c>
      <c r="D355" s="47" t="s">
        <v>8056</v>
      </c>
      <c r="E355" s="47" t="s">
        <v>8057</v>
      </c>
      <c r="F355" s="47" t="s">
        <v>12</v>
      </c>
      <c r="G355" s="47" t="s">
        <v>200</v>
      </c>
      <c r="H355" s="47" t="str">
        <f t="shared" si="11"/>
        <v>PULWAMA</v>
      </c>
      <c r="I355" s="47" t="s">
        <v>8083</v>
      </c>
      <c r="J355" s="48">
        <v>46027</v>
      </c>
      <c r="K355" s="47">
        <v>7298487838</v>
      </c>
      <c r="L355" s="47" t="s">
        <v>6521</v>
      </c>
      <c r="M355" s="49" t="s">
        <v>7715</v>
      </c>
      <c r="N355" s="48">
        <v>46050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8038</v>
      </c>
      <c r="C356" s="47" t="s">
        <v>8035</v>
      </c>
      <c r="D356" s="47" t="s">
        <v>8036</v>
      </c>
      <c r="E356" s="47" t="s">
        <v>8037</v>
      </c>
      <c r="F356" s="47" t="s">
        <v>102</v>
      </c>
      <c r="G356" s="47" t="s">
        <v>181</v>
      </c>
      <c r="H356" s="47" t="str">
        <f t="shared" si="11"/>
        <v>TEMP</v>
      </c>
      <c r="I356" s="47" t="s">
        <v>8081</v>
      </c>
      <c r="J356" s="48">
        <v>46027</v>
      </c>
      <c r="K356" s="47">
        <v>9999315031</v>
      </c>
      <c r="L356" s="47" t="s">
        <v>61</v>
      </c>
      <c r="M356" s="49"/>
      <c r="N356" s="48"/>
      <c r="O356" s="47"/>
      <c r="P356" s="50"/>
      <c r="Q356" s="47"/>
      <c r="R356" s="47"/>
    </row>
    <row r="357" spans="1:18" x14ac:dyDescent="0.25">
      <c r="A357" s="47">
        <f t="shared" si="10"/>
        <v>356</v>
      </c>
      <c r="B357" s="47" t="s">
        <v>8067</v>
      </c>
      <c r="C357" s="47" t="s">
        <v>8068</v>
      </c>
      <c r="D357" s="47" t="s">
        <v>8069</v>
      </c>
      <c r="E357" s="47" t="s">
        <v>8070</v>
      </c>
      <c r="F357" s="47" t="s">
        <v>5</v>
      </c>
      <c r="G357" s="47" t="s">
        <v>200</v>
      </c>
      <c r="H357" s="47" t="str">
        <f t="shared" si="11"/>
        <v>PULWAMA</v>
      </c>
      <c r="I357" s="47" t="s">
        <v>8084</v>
      </c>
      <c r="J357" s="48">
        <v>46027</v>
      </c>
      <c r="K357" s="47">
        <v>9419278824</v>
      </c>
      <c r="L357" s="47" t="s">
        <v>6521</v>
      </c>
      <c r="M357" s="49" t="s">
        <v>8618</v>
      </c>
      <c r="N357" s="48">
        <v>46057</v>
      </c>
      <c r="O357" s="47"/>
      <c r="P357" s="50"/>
      <c r="Q357" s="47"/>
      <c r="R357" s="47" t="s">
        <v>8092</v>
      </c>
    </row>
    <row r="358" spans="1:18" x14ac:dyDescent="0.25">
      <c r="A358" s="47">
        <f t="shared" si="10"/>
        <v>357</v>
      </c>
      <c r="B358" s="47" t="s">
        <v>8050</v>
      </c>
      <c r="C358" s="47" t="s">
        <v>8051</v>
      </c>
      <c r="D358" s="47" t="s">
        <v>8052</v>
      </c>
      <c r="E358" s="47" t="s">
        <v>8053</v>
      </c>
      <c r="F358" s="47" t="s">
        <v>8054</v>
      </c>
      <c r="G358" s="47" t="s">
        <v>226</v>
      </c>
      <c r="H358" s="47" t="str">
        <f t="shared" si="11"/>
        <v>SRINAGAR</v>
      </c>
      <c r="I358" s="47" t="s">
        <v>8089</v>
      </c>
      <c r="J358" s="48">
        <v>46027</v>
      </c>
      <c r="K358" s="47">
        <v>9797897619</v>
      </c>
      <c r="L358" s="47" t="s">
        <v>26</v>
      </c>
      <c r="M358" s="49" t="s">
        <v>7455</v>
      </c>
      <c r="N358" s="48">
        <v>46028</v>
      </c>
      <c r="O358" s="47"/>
      <c r="P358" s="50"/>
      <c r="Q358" s="47"/>
      <c r="R358" s="47"/>
    </row>
    <row r="359" spans="1:18" x14ac:dyDescent="0.25">
      <c r="A359" s="47">
        <f t="shared" si="10"/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 t="shared" si="11"/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/>
      <c r="O359" s="47"/>
      <c r="P359" s="50"/>
      <c r="Q359" s="47"/>
      <c r="R359" s="47"/>
    </row>
    <row r="360" spans="1:18" x14ac:dyDescent="0.25">
      <c r="A360" s="47">
        <f t="shared" si="10"/>
        <v>359</v>
      </c>
      <c r="B360" s="47" t="s">
        <v>8098</v>
      </c>
      <c r="C360" s="47" t="s">
        <v>8095</v>
      </c>
      <c r="D360" s="47" t="s">
        <v>8096</v>
      </c>
      <c r="E360" s="47" t="s">
        <v>8097</v>
      </c>
      <c r="F360" s="47" t="s">
        <v>31</v>
      </c>
      <c r="G360" s="47" t="s">
        <v>200</v>
      </c>
      <c r="H360" s="47" t="str">
        <f t="shared" si="11"/>
        <v>BUDGAM</v>
      </c>
      <c r="I360" s="47" t="s">
        <v>8118</v>
      </c>
      <c r="J360" s="48">
        <v>46028</v>
      </c>
      <c r="K360" s="47">
        <v>7780804850</v>
      </c>
      <c r="L360" s="47" t="s">
        <v>2172</v>
      </c>
      <c r="M360" s="49" t="s">
        <v>7716</v>
      </c>
      <c r="N360" s="48">
        <v>46030</v>
      </c>
      <c r="O360" s="47" t="s">
        <v>23</v>
      </c>
      <c r="P360" s="50">
        <v>46029</v>
      </c>
      <c r="Q360" s="47" t="s">
        <v>6460</v>
      </c>
      <c r="R360" s="47"/>
    </row>
    <row r="361" spans="1:18" x14ac:dyDescent="0.25">
      <c r="A361" s="47">
        <f t="shared" si="10"/>
        <v>360</v>
      </c>
      <c r="B361" s="47" t="s">
        <v>8099</v>
      </c>
      <c r="C361" s="47" t="s">
        <v>8100</v>
      </c>
      <c r="D361" s="47" t="s">
        <v>8101</v>
      </c>
      <c r="E361" s="47" t="s">
        <v>8102</v>
      </c>
      <c r="F361" s="47" t="s">
        <v>31</v>
      </c>
      <c r="G361" s="47" t="s">
        <v>200</v>
      </c>
      <c r="H361" s="47" t="str">
        <f t="shared" si="11"/>
        <v>BUDGAM</v>
      </c>
      <c r="I361" s="47" t="s">
        <v>8117</v>
      </c>
      <c r="J361" s="48">
        <v>46028</v>
      </c>
      <c r="K361" s="47">
        <v>9622595048</v>
      </c>
      <c r="L361" s="47" t="s">
        <v>8103</v>
      </c>
      <c r="M361" s="49" t="s">
        <v>8228</v>
      </c>
      <c r="N361" s="48">
        <v>46031</v>
      </c>
      <c r="O361" s="47" t="s">
        <v>23</v>
      </c>
      <c r="P361" s="50">
        <v>46031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8104</v>
      </c>
      <c r="C362" s="47" t="s">
        <v>8105</v>
      </c>
      <c r="D362" s="47" t="s">
        <v>8106</v>
      </c>
      <c r="E362" s="47" t="s">
        <v>8107</v>
      </c>
      <c r="F362" s="47" t="s">
        <v>238</v>
      </c>
      <c r="G362" s="47" t="s">
        <v>200</v>
      </c>
      <c r="H362" s="47" t="str">
        <f t="shared" si="11"/>
        <v>SRINAGAR</v>
      </c>
      <c r="I362" s="47" t="s">
        <v>8119</v>
      </c>
      <c r="J362" s="48">
        <v>46028</v>
      </c>
      <c r="K362" s="47">
        <v>8899110779</v>
      </c>
      <c r="L362" s="47" t="s">
        <v>48</v>
      </c>
      <c r="M362" s="49" t="s">
        <v>7775</v>
      </c>
      <c r="N362" s="48">
        <v>46030</v>
      </c>
      <c r="O362" s="47" t="s">
        <v>23</v>
      </c>
      <c r="P362" s="50">
        <v>46030</v>
      </c>
      <c r="Q362" s="47" t="s">
        <v>6460</v>
      </c>
      <c r="R362" s="47"/>
    </row>
    <row r="363" spans="1:18" x14ac:dyDescent="0.25">
      <c r="A363" s="47">
        <f t="shared" si="10"/>
        <v>362</v>
      </c>
      <c r="B363" s="47" t="s">
        <v>8127</v>
      </c>
      <c r="C363" s="47" t="s">
        <v>8128</v>
      </c>
      <c r="D363" s="47" t="s">
        <v>8129</v>
      </c>
      <c r="E363" s="47" t="s">
        <v>8130</v>
      </c>
      <c r="F363" s="47" t="s">
        <v>119</v>
      </c>
      <c r="G363" s="47" t="s">
        <v>175</v>
      </c>
      <c r="H363" s="47" t="str">
        <f t="shared" si="11"/>
        <v>PULWAMA</v>
      </c>
      <c r="I363" s="47" t="s">
        <v>8166</v>
      </c>
      <c r="J363" s="48">
        <v>46028</v>
      </c>
      <c r="K363" s="47">
        <v>9018734100</v>
      </c>
      <c r="L363" s="47" t="s">
        <v>166</v>
      </c>
      <c r="M363" s="49" t="s">
        <v>7775</v>
      </c>
      <c r="N363" s="48">
        <v>46029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8111</v>
      </c>
      <c r="C364" s="47" t="s">
        <v>8112</v>
      </c>
      <c r="D364" s="47" t="s">
        <v>8113</v>
      </c>
      <c r="E364" s="47" t="s">
        <v>8114</v>
      </c>
      <c r="F364" s="47" t="s">
        <v>102</v>
      </c>
      <c r="G364" s="47" t="s">
        <v>199</v>
      </c>
      <c r="H364" s="47" t="str">
        <f t="shared" si="11"/>
        <v>PULWAMA</v>
      </c>
      <c r="I364" s="47" t="s">
        <v>8115</v>
      </c>
      <c r="J364" s="48">
        <v>46028</v>
      </c>
      <c r="K364" s="47">
        <v>7889385453</v>
      </c>
      <c r="L364" s="47" t="s">
        <v>6451</v>
      </c>
      <c r="M364" s="49" t="s">
        <v>8239</v>
      </c>
      <c r="N364" s="48">
        <v>46032</v>
      </c>
      <c r="O364" s="47"/>
      <c r="P364" s="50"/>
      <c r="Q364" s="47"/>
      <c r="R364" s="47"/>
    </row>
    <row r="365" spans="1:18" x14ac:dyDescent="0.25">
      <c r="A365" s="47">
        <f t="shared" si="10"/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8038</v>
      </c>
      <c r="C366" s="47" t="s">
        <v>8125</v>
      </c>
      <c r="D366" s="47" t="s">
        <v>8126</v>
      </c>
      <c r="E366" s="47" t="s">
        <v>3192</v>
      </c>
      <c r="F366" s="47" t="s">
        <v>119</v>
      </c>
      <c r="G366" s="47" t="s">
        <v>221</v>
      </c>
      <c r="H366" s="47" t="str">
        <f t="shared" si="11"/>
        <v>SRINAGAR</v>
      </c>
      <c r="I366" s="47" t="s">
        <v>8165</v>
      </c>
      <c r="J366" s="48">
        <v>46028</v>
      </c>
      <c r="K366" s="47">
        <v>9906796717</v>
      </c>
      <c r="L366" s="47" t="s">
        <v>75</v>
      </c>
      <c r="M366" s="49" t="s">
        <v>7894</v>
      </c>
      <c r="N366" s="48">
        <v>46032</v>
      </c>
      <c r="O366" s="47"/>
      <c r="P366" s="50"/>
      <c r="Q366" s="47"/>
      <c r="R366" s="47"/>
    </row>
    <row r="367" spans="1:18" x14ac:dyDescent="0.25">
      <c r="A367" s="47">
        <f t="shared" si="10"/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 t="shared" si="11"/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8183</v>
      </c>
      <c r="C369" s="47" t="s">
        <v>8185</v>
      </c>
      <c r="D369" s="47" t="s">
        <v>8192</v>
      </c>
      <c r="E369" s="47" t="s">
        <v>8184</v>
      </c>
      <c r="F369" s="47" t="s">
        <v>5</v>
      </c>
      <c r="G369" s="47" t="s">
        <v>200</v>
      </c>
      <c r="H369" s="47" t="str">
        <f t="shared" si="11"/>
        <v>SRINAGAR</v>
      </c>
      <c r="I369" s="47" t="s">
        <v>8186</v>
      </c>
      <c r="J369" s="48">
        <v>46030</v>
      </c>
      <c r="K369" s="47">
        <v>7889664350</v>
      </c>
      <c r="L369" s="47" t="s">
        <v>18</v>
      </c>
      <c r="M369" s="49" t="s">
        <v>7775</v>
      </c>
      <c r="N369" s="48">
        <v>46034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0"/>
        <v>369</v>
      </c>
      <c r="B370" s="47" t="s">
        <v>8198</v>
      </c>
      <c r="C370" s="47" t="s">
        <v>8199</v>
      </c>
      <c r="D370" s="47" t="s">
        <v>8200</v>
      </c>
      <c r="E370" s="47" t="s">
        <v>8201</v>
      </c>
      <c r="F370" s="47" t="s">
        <v>2701</v>
      </c>
      <c r="G370" s="47" t="s">
        <v>200</v>
      </c>
      <c r="H370" s="47" t="str">
        <f t="shared" si="11"/>
        <v>SRINAGAR</v>
      </c>
      <c r="I370" s="47" t="s">
        <v>8208</v>
      </c>
      <c r="J370" s="48">
        <v>46030</v>
      </c>
      <c r="K370" s="47">
        <v>8491882203</v>
      </c>
      <c r="L370" s="47" t="s">
        <v>2248</v>
      </c>
      <c r="M370" s="49" t="s">
        <v>8164</v>
      </c>
      <c r="N370" s="48">
        <v>46031</v>
      </c>
      <c r="O370" s="47" t="s">
        <v>23</v>
      </c>
      <c r="P370" s="50">
        <v>46031</v>
      </c>
      <c r="Q370" s="47" t="s">
        <v>6460</v>
      </c>
      <c r="R370" s="47"/>
    </row>
    <row r="371" spans="1:18" x14ac:dyDescent="0.25">
      <c r="A371" s="47">
        <f t="shared" si="10"/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8190</v>
      </c>
      <c r="C372" s="47" t="s">
        <v>8187</v>
      </c>
      <c r="D372" s="47" t="s">
        <v>8188</v>
      </c>
      <c r="E372" s="47" t="s">
        <v>8189</v>
      </c>
      <c r="F372" s="47" t="s">
        <v>6546</v>
      </c>
      <c r="G372" s="47" t="s">
        <v>200</v>
      </c>
      <c r="H372" s="47" t="str">
        <f t="shared" si="11"/>
        <v>KULGAM</v>
      </c>
      <c r="I372" s="47" t="s">
        <v>8197</v>
      </c>
      <c r="J372" s="48">
        <v>46030</v>
      </c>
      <c r="K372" s="47">
        <v>9541822070</v>
      </c>
      <c r="L372" s="47" t="s">
        <v>6570</v>
      </c>
      <c r="M372" s="49" t="s">
        <v>8227</v>
      </c>
      <c r="N372" s="48">
        <v>46034</v>
      </c>
      <c r="O372" s="47"/>
      <c r="P372" s="50"/>
      <c r="Q372" s="47"/>
      <c r="R372" s="47" t="s">
        <v>8211</v>
      </c>
    </row>
    <row r="373" spans="1:18" x14ac:dyDescent="0.25">
      <c r="A373" s="47">
        <f t="shared" si="10"/>
        <v>372</v>
      </c>
      <c r="B373" s="47" t="s">
        <v>8191</v>
      </c>
      <c r="C373" s="47" t="s">
        <v>8194</v>
      </c>
      <c r="D373" s="47" t="s">
        <v>8195</v>
      </c>
      <c r="E373" s="47" t="s">
        <v>8196</v>
      </c>
      <c r="F373" s="47" t="s">
        <v>5</v>
      </c>
      <c r="G373" s="47" t="s">
        <v>181</v>
      </c>
      <c r="H373" s="47" t="str">
        <f t="shared" si="11"/>
        <v>SHOPIAN</v>
      </c>
      <c r="I373" s="47" t="s">
        <v>8206</v>
      </c>
      <c r="J373" s="48">
        <v>46030</v>
      </c>
      <c r="K373" s="47">
        <v>9906656754</v>
      </c>
      <c r="L373" s="47" t="s">
        <v>6451</v>
      </c>
      <c r="M373" s="49" t="s">
        <v>8239</v>
      </c>
      <c r="N373" s="48">
        <v>46032</v>
      </c>
      <c r="O373" s="47"/>
      <c r="P373" s="50"/>
      <c r="Q373" s="47"/>
      <c r="R373" s="47" t="s">
        <v>7176</v>
      </c>
    </row>
    <row r="374" spans="1:18" x14ac:dyDescent="0.25">
      <c r="A374" s="47">
        <f t="shared" si="10"/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 t="shared" si="11"/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8326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 t="shared" si="10"/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 t="shared" si="11"/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 t="shared" si="10"/>
        <v>375</v>
      </c>
      <c r="B376" s="47" t="s">
        <v>8274</v>
      </c>
      <c r="C376" s="47" t="s">
        <v>8276</v>
      </c>
      <c r="D376" s="47" t="s">
        <v>8277</v>
      </c>
      <c r="E376" s="47" t="s">
        <v>8275</v>
      </c>
      <c r="F376" s="47" t="s">
        <v>67</v>
      </c>
      <c r="G376" s="47" t="s">
        <v>200</v>
      </c>
      <c r="H376" s="47" t="str">
        <f t="shared" si="11"/>
        <v>SRINAGAR</v>
      </c>
      <c r="I376" s="47" t="s">
        <v>8278</v>
      </c>
      <c r="J376" s="48">
        <v>46038</v>
      </c>
      <c r="K376" s="47">
        <v>9622544857</v>
      </c>
      <c r="L376" s="47" t="s">
        <v>551</v>
      </c>
      <c r="M376" s="49"/>
      <c r="N376" s="48"/>
      <c r="O376" s="47" t="s">
        <v>23</v>
      </c>
      <c r="P376" s="50">
        <v>46038</v>
      </c>
      <c r="Q376" s="47" t="s">
        <v>6460</v>
      </c>
      <c r="R376" s="47"/>
    </row>
    <row r="377" spans="1:18" x14ac:dyDescent="0.25">
      <c r="A377" s="47">
        <f t="shared" si="10"/>
        <v>376</v>
      </c>
      <c r="B377" s="47" t="s">
        <v>8268</v>
      </c>
      <c r="C377" s="47" t="s">
        <v>8269</v>
      </c>
      <c r="D377" s="47" t="s">
        <v>8271</v>
      </c>
      <c r="E377" s="47" t="s">
        <v>8270</v>
      </c>
      <c r="F377" s="47" t="s">
        <v>8272</v>
      </c>
      <c r="G377" s="47" t="s">
        <v>200</v>
      </c>
      <c r="H377" s="47" t="str">
        <f t="shared" si="11"/>
        <v>SHOPIAN</v>
      </c>
      <c r="I377" s="47" t="s">
        <v>8273</v>
      </c>
      <c r="J377" s="48">
        <v>46038</v>
      </c>
      <c r="K377" s="47">
        <v>7006595403</v>
      </c>
      <c r="L377" s="47" t="s">
        <v>6570</v>
      </c>
      <c r="M377" s="49" t="s">
        <v>8315</v>
      </c>
      <c r="N377" s="48">
        <v>46042</v>
      </c>
      <c r="O377" s="47"/>
      <c r="P377" s="50"/>
      <c r="Q377" s="47"/>
      <c r="R377" s="47"/>
    </row>
    <row r="378" spans="1:18" x14ac:dyDescent="0.25">
      <c r="A378" s="47">
        <f t="shared" si="10"/>
        <v>377</v>
      </c>
      <c r="B378" s="47" t="s">
        <v>8287</v>
      </c>
      <c r="C378" s="47" t="s">
        <v>8284</v>
      </c>
      <c r="D378" s="47" t="s">
        <v>8285</v>
      </c>
      <c r="E378" s="47" t="s">
        <v>8286</v>
      </c>
      <c r="F378" s="47" t="s">
        <v>31</v>
      </c>
      <c r="G378" s="47" t="s">
        <v>200</v>
      </c>
      <c r="H378" s="47" t="str">
        <f t="shared" si="11"/>
        <v>BUDGAM</v>
      </c>
      <c r="I378" s="47" t="s">
        <v>8294</v>
      </c>
      <c r="J378" s="48">
        <v>46039</v>
      </c>
      <c r="K378" s="47">
        <v>9797811436</v>
      </c>
      <c r="L378" s="47" t="s">
        <v>2172</v>
      </c>
      <c r="M378" s="49"/>
      <c r="N378" s="48"/>
      <c r="O378" s="47" t="s">
        <v>23</v>
      </c>
      <c r="P378" s="50">
        <v>46041</v>
      </c>
      <c r="Q378" s="47" t="s">
        <v>6460</v>
      </c>
      <c r="R378" s="47"/>
    </row>
    <row r="379" spans="1:18" x14ac:dyDescent="0.25">
      <c r="A379" s="47">
        <f t="shared" si="10"/>
        <v>378</v>
      </c>
      <c r="B379" s="47" t="s">
        <v>8291</v>
      </c>
      <c r="C379" s="47" t="s">
        <v>8289</v>
      </c>
      <c r="D379" s="47" t="s">
        <v>8290</v>
      </c>
      <c r="E379" s="47" t="s">
        <v>3244</v>
      </c>
      <c r="F379" s="47" t="s">
        <v>31</v>
      </c>
      <c r="G379" s="47" t="s">
        <v>200</v>
      </c>
      <c r="H379" s="47" t="str">
        <f t="shared" si="11"/>
        <v>SRINAGAR</v>
      </c>
      <c r="I379" s="47" t="s">
        <v>8292</v>
      </c>
      <c r="J379" s="48">
        <v>46041</v>
      </c>
      <c r="K379" s="47">
        <v>6006475366</v>
      </c>
      <c r="L379" s="47" t="s">
        <v>194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8295</v>
      </c>
      <c r="C380" s="47" t="s">
        <v>8296</v>
      </c>
      <c r="D380" s="47" t="s">
        <v>8297</v>
      </c>
      <c r="E380" s="47" t="s">
        <v>8298</v>
      </c>
      <c r="F380" s="47" t="s">
        <v>3130</v>
      </c>
      <c r="G380" s="47" t="s">
        <v>6475</v>
      </c>
      <c r="H380" s="47" t="str">
        <f t="shared" si="11"/>
        <v>SRINAGAR</v>
      </c>
      <c r="I380" s="47" t="s">
        <v>8303</v>
      </c>
      <c r="J380" s="48">
        <v>46041</v>
      </c>
      <c r="K380" s="47">
        <v>9906774785</v>
      </c>
      <c r="L380" s="47" t="s">
        <v>484</v>
      </c>
      <c r="M380" s="49"/>
      <c r="N380" s="48"/>
      <c r="O380" s="47" t="s">
        <v>23</v>
      </c>
      <c r="P380" s="50">
        <v>46043</v>
      </c>
      <c r="Q380" s="47" t="s">
        <v>6460</v>
      </c>
      <c r="R380" s="47" t="s">
        <v>8354</v>
      </c>
    </row>
    <row r="381" spans="1:18" x14ac:dyDescent="0.25">
      <c r="A381" s="47">
        <f t="shared" si="10"/>
        <v>380</v>
      </c>
      <c r="B381" s="47" t="s">
        <v>8299</v>
      </c>
      <c r="C381" s="47" t="s">
        <v>8300</v>
      </c>
      <c r="D381" s="47" t="s">
        <v>8301</v>
      </c>
      <c r="E381" s="47" t="s">
        <v>8302</v>
      </c>
      <c r="F381" s="47" t="s">
        <v>31</v>
      </c>
      <c r="G381" s="47" t="s">
        <v>200</v>
      </c>
      <c r="H381" s="47" t="str">
        <f t="shared" si="11"/>
        <v>SRINAGAR</v>
      </c>
      <c r="I381" s="47" t="s">
        <v>8304</v>
      </c>
      <c r="J381" s="48">
        <v>46041</v>
      </c>
      <c r="K381" s="47">
        <v>9797865646</v>
      </c>
      <c r="L381" s="47" t="s">
        <v>26</v>
      </c>
      <c r="M381" s="49" t="s">
        <v>8094</v>
      </c>
      <c r="N381" s="48">
        <v>46043</v>
      </c>
      <c r="O381" s="47" t="s">
        <v>23</v>
      </c>
      <c r="P381" s="50">
        <v>46042</v>
      </c>
      <c r="Q381" s="47" t="s">
        <v>6460</v>
      </c>
      <c r="R381" s="47"/>
    </row>
    <row r="382" spans="1:18" x14ac:dyDescent="0.25">
      <c r="A382" s="47">
        <f t="shared" si="10"/>
        <v>381</v>
      </c>
      <c r="B382" s="47" t="s">
        <v>8281</v>
      </c>
      <c r="C382" s="47" t="s">
        <v>8279</v>
      </c>
      <c r="D382" s="47" t="s">
        <v>8288</v>
      </c>
      <c r="E382" s="47" t="s">
        <v>8280</v>
      </c>
      <c r="F382" s="47" t="s">
        <v>31</v>
      </c>
      <c r="G382" s="47" t="s">
        <v>175</v>
      </c>
      <c r="H382" s="47" t="str">
        <f t="shared" si="11"/>
        <v>SRINAGAR</v>
      </c>
      <c r="I382" s="47" t="s">
        <v>8307</v>
      </c>
      <c r="J382" s="48">
        <v>46042</v>
      </c>
      <c r="K382" s="47">
        <v>7022282286</v>
      </c>
      <c r="L382" s="47" t="s">
        <v>2172</v>
      </c>
      <c r="M382" s="49" t="s">
        <v>7714</v>
      </c>
      <c r="N382" s="48">
        <v>46044</v>
      </c>
      <c r="O382" s="47" t="s">
        <v>23</v>
      </c>
      <c r="P382" s="50">
        <v>46042</v>
      </c>
      <c r="Q382" s="47" t="s">
        <v>8167</v>
      </c>
      <c r="R382" s="47"/>
    </row>
    <row r="383" spans="1:18" x14ac:dyDescent="0.25">
      <c r="A383" s="47">
        <f t="shared" si="10"/>
        <v>382</v>
      </c>
      <c r="B383" s="47" t="s">
        <v>8319</v>
      </c>
      <c r="C383" s="47" t="s">
        <v>8316</v>
      </c>
      <c r="D383" s="47" t="s">
        <v>8317</v>
      </c>
      <c r="E383" s="47" t="s">
        <v>8318</v>
      </c>
      <c r="F383" s="47" t="s">
        <v>119</v>
      </c>
      <c r="G383" s="47" t="s">
        <v>175</v>
      </c>
      <c r="H383" s="47" t="str">
        <f t="shared" si="11"/>
        <v>SHOPIAN</v>
      </c>
      <c r="I383" s="47" t="s">
        <v>8322</v>
      </c>
      <c r="J383" s="48">
        <v>46042</v>
      </c>
      <c r="K383" s="47">
        <v>7006739253</v>
      </c>
      <c r="L383" s="47" t="s">
        <v>6570</v>
      </c>
      <c r="M383" s="49" t="s">
        <v>8315</v>
      </c>
      <c r="N383" s="48">
        <v>46059</v>
      </c>
      <c r="O383" s="47" t="s">
        <v>23</v>
      </c>
      <c r="P383" s="50">
        <v>46043</v>
      </c>
      <c r="Q383" s="47" t="s">
        <v>8167</v>
      </c>
      <c r="R383" s="47" t="s">
        <v>8353</v>
      </c>
    </row>
    <row r="384" spans="1:18" x14ac:dyDescent="0.25">
      <c r="A384" s="47">
        <f t="shared" si="10"/>
        <v>383</v>
      </c>
      <c r="B384" s="47" t="s">
        <v>8310</v>
      </c>
      <c r="C384" s="47" t="s">
        <v>8308</v>
      </c>
      <c r="D384" s="47" t="s">
        <v>8309</v>
      </c>
      <c r="E384" s="47" t="s">
        <v>3155</v>
      </c>
      <c r="F384" s="47" t="s">
        <v>12</v>
      </c>
      <c r="G384" s="47" t="s">
        <v>181</v>
      </c>
      <c r="H384" s="47" t="str">
        <f t="shared" si="11"/>
        <v>BUDGAM</v>
      </c>
      <c r="I384" s="47" t="s">
        <v>8320</v>
      </c>
      <c r="J384" s="48">
        <v>46042</v>
      </c>
      <c r="K384" s="47">
        <v>9906655656</v>
      </c>
      <c r="L384" s="47" t="s">
        <v>484</v>
      </c>
      <c r="M384" s="49" t="s">
        <v>7455</v>
      </c>
      <c r="N384" s="48">
        <v>46046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8314</v>
      </c>
      <c r="C385" s="47" t="s">
        <v>8311</v>
      </c>
      <c r="D385" s="47" t="s">
        <v>8312</v>
      </c>
      <c r="E385" s="47" t="s">
        <v>8313</v>
      </c>
      <c r="F385" s="47" t="s">
        <v>67</v>
      </c>
      <c r="G385" s="47" t="s">
        <v>199</v>
      </c>
      <c r="H385" s="47" t="str">
        <f t="shared" si="11"/>
        <v>ANANTNAG</v>
      </c>
      <c r="I385" s="47" t="s">
        <v>8321</v>
      </c>
      <c r="J385" s="48">
        <v>46042</v>
      </c>
      <c r="K385" s="47">
        <v>8899068335</v>
      </c>
      <c r="L385" s="47" t="s">
        <v>6521</v>
      </c>
      <c r="M385" s="49" t="s">
        <v>8618</v>
      </c>
      <c r="N385" s="48">
        <v>46056</v>
      </c>
      <c r="O385" s="47"/>
      <c r="P385" s="50"/>
      <c r="Q385" s="47"/>
      <c r="R385" s="47"/>
    </row>
    <row r="386" spans="1:18" x14ac:dyDescent="0.25">
      <c r="A386" s="47">
        <f t="shared" ref="A386:A451" si="12">ROW()-1</f>
        <v>385</v>
      </c>
      <c r="B386" s="47" t="s">
        <v>8339</v>
      </c>
      <c r="C386" s="47" t="s">
        <v>8340</v>
      </c>
      <c r="D386" s="47" t="s">
        <v>8341</v>
      </c>
      <c r="E386" s="47" t="s">
        <v>8342</v>
      </c>
      <c r="F386" s="47" t="s">
        <v>8343</v>
      </c>
      <c r="G386" s="47" t="s">
        <v>200</v>
      </c>
      <c r="H386" s="47" t="str">
        <f t="shared" ref="H386:H441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8350</v>
      </c>
      <c r="J386" s="48">
        <v>46043</v>
      </c>
      <c r="K386" s="47">
        <v>9906439950</v>
      </c>
      <c r="L386" s="47" t="s">
        <v>7959</v>
      </c>
      <c r="M386" s="49" t="s">
        <v>8315</v>
      </c>
      <c r="N386" s="48">
        <v>46059</v>
      </c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 t="shared" si="12"/>
        <v>386</v>
      </c>
      <c r="B387" s="47" t="s">
        <v>8347</v>
      </c>
      <c r="C387" s="47" t="s">
        <v>8344</v>
      </c>
      <c r="D387" s="47" t="s">
        <v>8345</v>
      </c>
      <c r="E387" s="47" t="s">
        <v>8346</v>
      </c>
      <c r="F387" s="47" t="s">
        <v>8343</v>
      </c>
      <c r="G387" s="47" t="s">
        <v>200</v>
      </c>
      <c r="H387" s="47" t="str">
        <f t="shared" si="13"/>
        <v>SRINAGAR</v>
      </c>
      <c r="I387" s="47" t="s">
        <v>8348</v>
      </c>
      <c r="J387" s="48">
        <v>46043</v>
      </c>
      <c r="K387" s="47">
        <v>8899953394</v>
      </c>
      <c r="L387" s="47" t="s">
        <v>75</v>
      </c>
      <c r="M387" s="49" t="s">
        <v>7455</v>
      </c>
      <c r="N387" s="48">
        <v>46043</v>
      </c>
      <c r="O387" s="47" t="s">
        <v>23</v>
      </c>
      <c r="P387" s="50">
        <v>46043</v>
      </c>
      <c r="Q387" s="47" t="s">
        <v>6460</v>
      </c>
      <c r="R387" s="47"/>
    </row>
    <row r="388" spans="1:18" x14ac:dyDescent="0.25">
      <c r="A388" s="47">
        <f t="shared" si="12"/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 t="shared" si="12"/>
        <v>388</v>
      </c>
      <c r="B389" s="47" t="s">
        <v>8267</v>
      </c>
      <c r="C389" s="47" t="s">
        <v>8264</v>
      </c>
      <c r="D389" s="47" t="s">
        <v>8265</v>
      </c>
      <c r="E389" s="47" t="s">
        <v>6338</v>
      </c>
      <c r="F389" s="47" t="s">
        <v>8266</v>
      </c>
      <c r="G389" s="47" t="s">
        <v>174</v>
      </c>
      <c r="H389" s="47" t="str">
        <f t="shared" si="13"/>
        <v>SRINAGAR</v>
      </c>
      <c r="I389" s="47" t="s">
        <v>8370</v>
      </c>
      <c r="J389" s="48">
        <v>46043</v>
      </c>
      <c r="K389" s="47">
        <v>9797454728</v>
      </c>
      <c r="L389" s="47" t="s">
        <v>1592</v>
      </c>
      <c r="M389" s="49"/>
      <c r="N389" s="48"/>
      <c r="O389" s="47" t="s">
        <v>23</v>
      </c>
      <c r="P389" s="50">
        <v>46058</v>
      </c>
      <c r="Q389" s="47" t="s">
        <v>6460</v>
      </c>
      <c r="R389" s="47"/>
    </row>
    <row r="390" spans="1:18" x14ac:dyDescent="0.25">
      <c r="A390" s="47">
        <f t="shared" si="12"/>
        <v>389</v>
      </c>
      <c r="B390" s="47" t="s">
        <v>8330</v>
      </c>
      <c r="C390" s="47" t="s">
        <v>8327</v>
      </c>
      <c r="D390" s="47" t="s">
        <v>8328</v>
      </c>
      <c r="E390" s="47" t="s">
        <v>8329</v>
      </c>
      <c r="F390" s="47" t="s">
        <v>12</v>
      </c>
      <c r="G390" s="47" t="s">
        <v>181</v>
      </c>
      <c r="H390" s="47" t="str">
        <f t="shared" si="13"/>
        <v>SRINAGAR</v>
      </c>
      <c r="I390" s="47" t="s">
        <v>8349</v>
      </c>
      <c r="J390" s="48">
        <v>46043</v>
      </c>
      <c r="K390" s="47">
        <v>7006287562</v>
      </c>
      <c r="L390" s="47" t="s">
        <v>70</v>
      </c>
      <c r="M390" s="49"/>
      <c r="N390" s="48"/>
      <c r="O390" s="47"/>
      <c r="P390" s="50"/>
      <c r="Q390" s="47"/>
      <c r="R390" s="47"/>
    </row>
    <row r="391" spans="1:18" x14ac:dyDescent="0.25">
      <c r="A391" s="47">
        <f t="shared" si="12"/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8375</v>
      </c>
      <c r="C393" s="47" t="s">
        <v>8372</v>
      </c>
      <c r="D393" s="47" t="s">
        <v>8373</v>
      </c>
      <c r="E393" s="47" t="s">
        <v>8374</v>
      </c>
      <c r="F393" s="47" t="s">
        <v>125</v>
      </c>
      <c r="G393" s="47" t="s">
        <v>174</v>
      </c>
      <c r="H393" s="47" t="str">
        <f t="shared" si="13"/>
        <v>PULWAMA</v>
      </c>
      <c r="I393" s="47" t="s">
        <v>8376</v>
      </c>
      <c r="J393" s="48">
        <v>46044</v>
      </c>
      <c r="K393" s="47">
        <v>9622626268</v>
      </c>
      <c r="L393" s="47" t="s">
        <v>6521</v>
      </c>
      <c r="M393" s="49" t="s">
        <v>8618</v>
      </c>
      <c r="N393" s="48">
        <v>46056</v>
      </c>
      <c r="O393" s="47"/>
      <c r="P393" s="50"/>
      <c r="Q393" s="47"/>
      <c r="R393" s="47" t="s">
        <v>8353</v>
      </c>
    </row>
    <row r="394" spans="1:18" x14ac:dyDescent="0.25">
      <c r="A394" s="47">
        <f t="shared" si="12"/>
        <v>393</v>
      </c>
      <c r="B394" s="47" t="s">
        <v>8382</v>
      </c>
      <c r="C394" s="47" t="s">
        <v>8378</v>
      </c>
      <c r="D394" s="47" t="s">
        <v>8379</v>
      </c>
      <c r="E394" s="47" t="s">
        <v>8380</v>
      </c>
      <c r="F394" s="47" t="s">
        <v>849</v>
      </c>
      <c r="G394" s="47" t="s">
        <v>200</v>
      </c>
      <c r="H394" s="47" t="str">
        <f t="shared" si="13"/>
        <v>SRINAGAR</v>
      </c>
      <c r="I394" s="47" t="s">
        <v>8381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 t="shared" si="12"/>
        <v>394</v>
      </c>
      <c r="B395" s="47" t="s">
        <v>8387</v>
      </c>
      <c r="C395" s="47" t="s">
        <v>8384</v>
      </c>
      <c r="D395" s="47" t="s">
        <v>8385</v>
      </c>
      <c r="E395" s="47" t="s">
        <v>8386</v>
      </c>
      <c r="F395" s="47" t="s">
        <v>31</v>
      </c>
      <c r="G395" s="47" t="s">
        <v>175</v>
      </c>
      <c r="H395" s="47" t="str">
        <f t="shared" si="13"/>
        <v>BUDGAM</v>
      </c>
      <c r="I395" s="47" t="s">
        <v>8395</v>
      </c>
      <c r="J395" s="48">
        <v>46050</v>
      </c>
      <c r="K395" s="47">
        <v>6006516082</v>
      </c>
      <c r="L395" s="47" t="s">
        <v>61</v>
      </c>
      <c r="M395" s="49" t="s">
        <v>8595</v>
      </c>
      <c r="N395" s="48">
        <v>46056</v>
      </c>
      <c r="O395" s="47" t="s">
        <v>23</v>
      </c>
      <c r="P395" s="50">
        <v>46055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8394</v>
      </c>
      <c r="C397" s="47" t="s">
        <v>8392</v>
      </c>
      <c r="D397" s="47" t="s">
        <v>8393</v>
      </c>
      <c r="E397" s="47" t="s">
        <v>8176</v>
      </c>
      <c r="F397" s="47" t="s">
        <v>37</v>
      </c>
      <c r="G397" s="47" t="s">
        <v>181</v>
      </c>
      <c r="H397" s="47" t="str">
        <f t="shared" si="13"/>
        <v>PULWAMA</v>
      </c>
      <c r="I397" s="47" t="s">
        <v>8397</v>
      </c>
      <c r="J397" s="48">
        <v>46050</v>
      </c>
      <c r="K397" s="47">
        <v>7006154741</v>
      </c>
      <c r="L397" s="47" t="s">
        <v>26</v>
      </c>
      <c r="M397" s="49" t="s">
        <v>8531</v>
      </c>
      <c r="N397" s="48">
        <v>46053</v>
      </c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8618</v>
      </c>
      <c r="N398" s="48">
        <v>46056</v>
      </c>
      <c r="O398" s="47"/>
      <c r="P398" s="50"/>
      <c r="Q398" s="47"/>
      <c r="R398" s="47" t="s">
        <v>8458</v>
      </c>
    </row>
    <row r="399" spans="1:18" x14ac:dyDescent="0.25">
      <c r="A399" s="47">
        <f t="shared" si="12"/>
        <v>398</v>
      </c>
      <c r="B399" s="47" t="s">
        <v>8405</v>
      </c>
      <c r="C399" s="47" t="s">
        <v>8402</v>
      </c>
      <c r="D399" s="47" t="s">
        <v>8403</v>
      </c>
      <c r="E399" s="47" t="s">
        <v>8404</v>
      </c>
      <c r="F399" s="47" t="s">
        <v>290</v>
      </c>
      <c r="G399" s="47" t="s">
        <v>200</v>
      </c>
      <c r="H399" s="47" t="str">
        <f t="shared" si="13"/>
        <v>SHOPIAN</v>
      </c>
      <c r="I399" s="47" t="s">
        <v>8406</v>
      </c>
      <c r="J399" s="48">
        <v>46050</v>
      </c>
      <c r="K399" s="47">
        <v>6005048054</v>
      </c>
      <c r="L399" s="47" t="s">
        <v>7959</v>
      </c>
      <c r="M399" s="49" t="s">
        <v>8696</v>
      </c>
      <c r="N399" s="48">
        <v>46052</v>
      </c>
      <c r="O399" s="47"/>
      <c r="P399" s="50"/>
      <c r="Q399" s="47"/>
      <c r="R399" s="47"/>
    </row>
    <row r="400" spans="1:18" x14ac:dyDescent="0.25">
      <c r="A400" s="47">
        <f t="shared" si="12"/>
        <v>399</v>
      </c>
      <c r="B400" s="47" t="s">
        <v>8411</v>
      </c>
      <c r="C400" s="47" t="s">
        <v>8412</v>
      </c>
      <c r="D400" s="47" t="s">
        <v>8413</v>
      </c>
      <c r="E400" s="47" t="s">
        <v>8414</v>
      </c>
      <c r="F400" s="47" t="s">
        <v>8415</v>
      </c>
      <c r="G400" s="47" t="s">
        <v>199</v>
      </c>
      <c r="H400" s="47" t="str">
        <f t="shared" si="13"/>
        <v>SRINAGAR</v>
      </c>
      <c r="I400" s="47" t="s">
        <v>8434</v>
      </c>
      <c r="J400" s="48">
        <v>46051</v>
      </c>
      <c r="K400" s="47">
        <v>9596194280</v>
      </c>
      <c r="L400" s="47" t="s">
        <v>26</v>
      </c>
      <c r="M400" s="49" t="s">
        <v>7616</v>
      </c>
      <c r="N400" s="48">
        <v>46052</v>
      </c>
      <c r="O400" s="47" t="s">
        <v>23</v>
      </c>
      <c r="P400" s="50">
        <v>46051</v>
      </c>
      <c r="Q400" s="47" t="s">
        <v>6460</v>
      </c>
      <c r="R400" s="47"/>
    </row>
    <row r="401" spans="1:18" x14ac:dyDescent="0.25">
      <c r="A401" s="47">
        <f t="shared" si="12"/>
        <v>400</v>
      </c>
      <c r="B401" s="47" t="s">
        <v>8419</v>
      </c>
      <c r="C401" s="47" t="s">
        <v>8418</v>
      </c>
      <c r="D401" s="47" t="s">
        <v>8417</v>
      </c>
      <c r="E401" s="47" t="s">
        <v>3561</v>
      </c>
      <c r="F401" s="47" t="s">
        <v>8415</v>
      </c>
      <c r="G401" s="47" t="s">
        <v>199</v>
      </c>
      <c r="H401" s="47" t="str">
        <f t="shared" si="13"/>
        <v>SRINAGAR</v>
      </c>
      <c r="I401" s="47" t="s">
        <v>8416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8439</v>
      </c>
      <c r="C402" s="47" t="s">
        <v>8436</v>
      </c>
      <c r="D402" s="47" t="s">
        <v>8437</v>
      </c>
      <c r="E402" s="47" t="s">
        <v>8438</v>
      </c>
      <c r="F402" s="47" t="s">
        <v>67</v>
      </c>
      <c r="G402" s="47" t="s">
        <v>199</v>
      </c>
      <c r="H402" s="47" t="str">
        <f t="shared" si="13"/>
        <v>BARAMULLA</v>
      </c>
      <c r="I402" s="47" t="s">
        <v>8447</v>
      </c>
      <c r="J402" s="48">
        <v>46051</v>
      </c>
      <c r="K402" s="47">
        <v>9149943016</v>
      </c>
      <c r="L402" s="47" t="s">
        <v>75</v>
      </c>
      <c r="M402" s="49" t="s">
        <v>7894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 t="shared" si="12"/>
        <v>402</v>
      </c>
      <c r="B403" s="47" t="s">
        <v>8440</v>
      </c>
      <c r="C403" s="47" t="s">
        <v>8441</v>
      </c>
      <c r="D403" s="47" t="s">
        <v>8442</v>
      </c>
      <c r="E403" s="47" t="s">
        <v>4781</v>
      </c>
      <c r="F403" s="47" t="s">
        <v>125</v>
      </c>
      <c r="G403" s="47" t="s">
        <v>175</v>
      </c>
      <c r="H403" s="47" t="str">
        <f t="shared" si="13"/>
        <v>SRINAGAR</v>
      </c>
      <c r="I403" s="47" t="s">
        <v>8448</v>
      </c>
      <c r="J403" s="48">
        <v>46051</v>
      </c>
      <c r="K403" s="47">
        <v>7006788825</v>
      </c>
      <c r="L403" s="47" t="s">
        <v>307</v>
      </c>
      <c r="M403" s="49" t="s">
        <v>8093</v>
      </c>
      <c r="N403" s="48">
        <v>46052</v>
      </c>
      <c r="O403" s="47" t="s">
        <v>23</v>
      </c>
      <c r="P403" s="50">
        <v>46052</v>
      </c>
      <c r="Q403" s="47" t="s">
        <v>6460</v>
      </c>
      <c r="R403" s="47"/>
    </row>
    <row r="404" spans="1:18" x14ac:dyDescent="0.25">
      <c r="A404" s="47">
        <f t="shared" si="12"/>
        <v>403</v>
      </c>
      <c r="B404" s="47" t="s">
        <v>8443</v>
      </c>
      <c r="C404" s="47" t="s">
        <v>8444</v>
      </c>
      <c r="D404" s="47" t="s">
        <v>8445</v>
      </c>
      <c r="E404" s="47" t="s">
        <v>8446</v>
      </c>
      <c r="F404" s="47" t="s">
        <v>5</v>
      </c>
      <c r="G404" s="47" t="s">
        <v>199</v>
      </c>
      <c r="H404" s="47" t="str">
        <f t="shared" si="13"/>
        <v>BUDGAM</v>
      </c>
      <c r="I404" s="47" t="s">
        <v>8449</v>
      </c>
      <c r="J404" s="48">
        <v>46051</v>
      </c>
      <c r="K404" s="47">
        <v>9055007706</v>
      </c>
      <c r="L404" s="47" t="s">
        <v>194</v>
      </c>
      <c r="M404" s="49" t="s">
        <v>7595</v>
      </c>
      <c r="N404" s="48">
        <v>46057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 t="shared" si="12"/>
        <v>404</v>
      </c>
      <c r="B405" s="47" t="s">
        <v>8450</v>
      </c>
      <c r="C405" s="47" t="s">
        <v>8451</v>
      </c>
      <c r="D405" s="47" t="s">
        <v>8452</v>
      </c>
      <c r="E405" s="47" t="s">
        <v>8453</v>
      </c>
      <c r="F405" s="47" t="s">
        <v>67</v>
      </c>
      <c r="G405" s="47" t="s">
        <v>200</v>
      </c>
      <c r="H405" s="47" t="str">
        <f t="shared" si="13"/>
        <v>SRINAGAR</v>
      </c>
      <c r="I405" s="47" t="s">
        <v>8462</v>
      </c>
      <c r="J405" s="48">
        <v>46051</v>
      </c>
      <c r="K405" s="47">
        <v>9622217999</v>
      </c>
      <c r="L405" s="47" t="s">
        <v>43</v>
      </c>
      <c r="M405" s="49"/>
      <c r="N405" s="48"/>
      <c r="O405" s="47" t="s">
        <v>23</v>
      </c>
      <c r="P405" s="50">
        <v>46052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8454</v>
      </c>
      <c r="C406" s="47" t="s">
        <v>8455</v>
      </c>
      <c r="D406" s="47" t="s">
        <v>8456</v>
      </c>
      <c r="E406" s="47" t="s">
        <v>8457</v>
      </c>
      <c r="F406" s="47" t="s">
        <v>31</v>
      </c>
      <c r="G406" s="47" t="s">
        <v>175</v>
      </c>
      <c r="H406" s="47" t="str">
        <f t="shared" si="13"/>
        <v>SRINAGAR</v>
      </c>
      <c r="I406" s="47" t="s">
        <v>8463</v>
      </c>
      <c r="J406" s="48">
        <v>46051</v>
      </c>
      <c r="K406" s="47">
        <v>7006896658</v>
      </c>
      <c r="L406" s="47" t="s">
        <v>75</v>
      </c>
      <c r="M406" s="49" t="s">
        <v>7775</v>
      </c>
      <c r="N406" s="48">
        <v>46053</v>
      </c>
      <c r="O406" s="47" t="s">
        <v>23</v>
      </c>
      <c r="P406" s="50">
        <v>46053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8420</v>
      </c>
      <c r="C407" s="47" t="s">
        <v>8421</v>
      </c>
      <c r="D407" s="47" t="s">
        <v>8422</v>
      </c>
      <c r="E407" s="47" t="s">
        <v>8423</v>
      </c>
      <c r="F407" s="47" t="s">
        <v>8424</v>
      </c>
      <c r="G407" s="47" t="s">
        <v>226</v>
      </c>
      <c r="H407" s="47" t="str">
        <f t="shared" si="13"/>
        <v>BUDGAM</v>
      </c>
      <c r="I407" s="47" t="s">
        <v>8432</v>
      </c>
      <c r="J407" s="48">
        <v>46051</v>
      </c>
      <c r="K407" s="47">
        <v>8491887577</v>
      </c>
      <c r="L407" s="47" t="s">
        <v>75</v>
      </c>
      <c r="M407" s="49" t="s">
        <v>7894</v>
      </c>
      <c r="N407" s="48">
        <v>46060</v>
      </c>
      <c r="O407" s="47" t="s">
        <v>23</v>
      </c>
      <c r="P407" s="48">
        <v>46060</v>
      </c>
      <c r="Q407" s="47" t="s">
        <v>6460</v>
      </c>
      <c r="R407" s="47"/>
    </row>
    <row r="408" spans="1:18" x14ac:dyDescent="0.25">
      <c r="A408" s="47">
        <f t="shared" si="12"/>
        <v>407</v>
      </c>
      <c r="B408" s="47" t="s">
        <v>8425</v>
      </c>
      <c r="C408" s="47" t="s">
        <v>8426</v>
      </c>
      <c r="D408" s="47" t="s">
        <v>8427</v>
      </c>
      <c r="E408" s="47" t="s">
        <v>8428</v>
      </c>
      <c r="F408" s="47" t="s">
        <v>8424</v>
      </c>
      <c r="G408" s="47" t="s">
        <v>181</v>
      </c>
      <c r="H408" s="47" t="str">
        <f t="shared" si="13"/>
        <v>BUDGAM</v>
      </c>
      <c r="I408" s="47" t="s">
        <v>8433</v>
      </c>
      <c r="J408" s="48">
        <v>46051</v>
      </c>
      <c r="K408" s="47">
        <v>7006260958</v>
      </c>
      <c r="L408" s="47" t="s">
        <v>75</v>
      </c>
      <c r="M408" s="49" t="s">
        <v>7894</v>
      </c>
      <c r="N408" s="48">
        <v>46060</v>
      </c>
      <c r="O408" s="47" t="s">
        <v>23</v>
      </c>
      <c r="P408" s="48">
        <v>46060</v>
      </c>
      <c r="Q408" s="47" t="s">
        <v>6460</v>
      </c>
      <c r="R408" s="47"/>
    </row>
    <row r="409" spans="1:18" x14ac:dyDescent="0.25">
      <c r="A409" s="47">
        <f t="shared" si="12"/>
        <v>408</v>
      </c>
      <c r="B409" s="47" t="s">
        <v>8429</v>
      </c>
      <c r="C409" s="47" t="s">
        <v>8430</v>
      </c>
      <c r="D409" s="47" t="s">
        <v>8431</v>
      </c>
      <c r="E409" s="47" t="s">
        <v>5451</v>
      </c>
      <c r="F409" s="47" t="s">
        <v>31</v>
      </c>
      <c r="G409" s="47" t="s">
        <v>199</v>
      </c>
      <c r="H409" s="47" t="str">
        <f t="shared" si="13"/>
        <v>PULWAMA</v>
      </c>
      <c r="I409" s="47" t="s">
        <v>8435</v>
      </c>
      <c r="J409" s="48">
        <v>46051</v>
      </c>
      <c r="K409" s="47">
        <v>9622820824</v>
      </c>
      <c r="L409" s="47" t="s">
        <v>6521</v>
      </c>
      <c r="M409" s="49" t="s">
        <v>8618</v>
      </c>
      <c r="N409" s="48">
        <v>46056</v>
      </c>
      <c r="O409" s="47"/>
      <c r="P409" s="50"/>
      <c r="Q409" s="47"/>
      <c r="R409" s="47" t="s">
        <v>8458</v>
      </c>
    </row>
    <row r="410" spans="1:18" x14ac:dyDescent="0.25">
      <c r="A410" s="47">
        <f t="shared" si="12"/>
        <v>409</v>
      </c>
      <c r="B410" s="47" t="s">
        <v>8468</v>
      </c>
      <c r="C410" s="47" t="s">
        <v>8465</v>
      </c>
      <c r="D410" s="47" t="s">
        <v>8466</v>
      </c>
      <c r="E410" s="47" t="s">
        <v>8467</v>
      </c>
      <c r="F410" s="47" t="s">
        <v>119</v>
      </c>
      <c r="G410" s="47" t="s">
        <v>174</v>
      </c>
      <c r="H410" s="47" t="str">
        <f t="shared" si="13"/>
        <v>SHOPIAN</v>
      </c>
      <c r="I410" s="47" t="s">
        <v>8474</v>
      </c>
      <c r="J410" s="48">
        <v>46052</v>
      </c>
      <c r="K410" s="47">
        <v>8899524496</v>
      </c>
      <c r="L410" s="47" t="s">
        <v>7699</v>
      </c>
      <c r="M410" s="49"/>
      <c r="N410" s="48"/>
      <c r="O410" s="47" t="s">
        <v>23</v>
      </c>
      <c r="P410" s="50">
        <v>46055</v>
      </c>
      <c r="Q410" s="47" t="s">
        <v>6460</v>
      </c>
      <c r="R410" s="47"/>
    </row>
    <row r="411" spans="1:18" x14ac:dyDescent="0.25">
      <c r="A411" s="47">
        <f t="shared" si="12"/>
        <v>410</v>
      </c>
      <c r="B411" s="47" t="s">
        <v>8469</v>
      </c>
      <c r="C411" s="47" t="s">
        <v>8470</v>
      </c>
      <c r="D411" s="47" t="s">
        <v>8471</v>
      </c>
      <c r="E411" s="47" t="s">
        <v>8472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8473</v>
      </c>
      <c r="J411" s="48">
        <v>46052</v>
      </c>
      <c r="K411" s="47">
        <v>9906504452</v>
      </c>
      <c r="L411" s="47" t="s">
        <v>26</v>
      </c>
      <c r="M411" s="49" t="s">
        <v>8531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8477</v>
      </c>
      <c r="C412" s="47" t="s">
        <v>8478</v>
      </c>
      <c r="D412" s="47" t="s">
        <v>8479</v>
      </c>
      <c r="E412" s="47" t="s">
        <v>3610</v>
      </c>
      <c r="F412" s="47" t="s">
        <v>31</v>
      </c>
      <c r="G412" s="47" t="s">
        <v>199</v>
      </c>
      <c r="H412" s="47" t="str">
        <f t="shared" si="13"/>
        <v>ANANTNAG</v>
      </c>
      <c r="I412" s="47" t="s">
        <v>8488</v>
      </c>
      <c r="J412" s="48">
        <v>46052</v>
      </c>
      <c r="K412" s="47">
        <v>9596498016</v>
      </c>
      <c r="L412" s="47" t="s">
        <v>6832</v>
      </c>
      <c r="M412" s="49"/>
      <c r="N412" s="48"/>
      <c r="O412" s="47" t="s">
        <v>23</v>
      </c>
      <c r="P412" s="50">
        <v>46053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8484</v>
      </c>
      <c r="C413" s="47" t="s">
        <v>8485</v>
      </c>
      <c r="D413" s="47" t="s">
        <v>8486</v>
      </c>
      <c r="E413" s="47" t="s">
        <v>8487</v>
      </c>
      <c r="F413" s="47" t="s">
        <v>486</v>
      </c>
      <c r="G413" s="47" t="s">
        <v>199</v>
      </c>
      <c r="H413" s="47" t="str">
        <f t="shared" si="13"/>
        <v>BARAMULLA</v>
      </c>
      <c r="I413" s="47" t="s">
        <v>8489</v>
      </c>
      <c r="J413" s="48">
        <v>46052</v>
      </c>
      <c r="K413" s="47">
        <v>7006407965</v>
      </c>
      <c r="L413" s="47" t="s">
        <v>6683</v>
      </c>
      <c r="M413" s="49" t="s">
        <v>8094</v>
      </c>
      <c r="N413" s="48">
        <v>46055</v>
      </c>
      <c r="O413" s="47" t="s">
        <v>23</v>
      </c>
      <c r="P413" s="50">
        <v>46055</v>
      </c>
      <c r="Q413" s="47" t="s">
        <v>6460</v>
      </c>
      <c r="R413" s="47"/>
    </row>
    <row r="414" spans="1:18" x14ac:dyDescent="0.25">
      <c r="A414" s="47">
        <f t="shared" si="12"/>
        <v>413</v>
      </c>
      <c r="B414" s="47" t="s">
        <v>8500</v>
      </c>
      <c r="C414" s="47" t="s">
        <v>8501</v>
      </c>
      <c r="D414" s="47" t="s">
        <v>8502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8512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8503</v>
      </c>
      <c r="C415" s="47" t="s">
        <v>8504</v>
      </c>
      <c r="D415" s="47" t="s">
        <v>8505</v>
      </c>
      <c r="E415" s="47" t="s">
        <v>8506</v>
      </c>
      <c r="F415" s="47" t="s">
        <v>100</v>
      </c>
      <c r="G415" s="47" t="s">
        <v>174</v>
      </c>
      <c r="H415" s="47" t="str">
        <f t="shared" si="13"/>
        <v>SRINAGAR</v>
      </c>
      <c r="I415" s="47" t="s">
        <v>8511</v>
      </c>
      <c r="J415" s="48">
        <v>46052</v>
      </c>
      <c r="K415" s="47">
        <v>6005635173</v>
      </c>
      <c r="L415" s="47" t="s">
        <v>26</v>
      </c>
      <c r="M415" s="49"/>
      <c r="N415" s="48"/>
      <c r="O415" s="47" t="s">
        <v>23</v>
      </c>
      <c r="P415" s="50">
        <v>46055</v>
      </c>
      <c r="Q415" s="47" t="s">
        <v>6460</v>
      </c>
      <c r="R415" s="47"/>
    </row>
    <row r="416" spans="1:18" x14ac:dyDescent="0.25">
      <c r="A416" s="47">
        <f t="shared" si="12"/>
        <v>415</v>
      </c>
      <c r="B416" s="47" t="s">
        <v>8480</v>
      </c>
      <c r="C416" s="47" t="s">
        <v>8481</v>
      </c>
      <c r="D416" s="47" t="s">
        <v>8482</v>
      </c>
      <c r="E416" s="47" t="s">
        <v>8483</v>
      </c>
      <c r="F416" s="47" t="s">
        <v>6919</v>
      </c>
      <c r="G416" s="47" t="s">
        <v>200</v>
      </c>
      <c r="H416" s="47" t="str">
        <f t="shared" si="13"/>
        <v>TEMP</v>
      </c>
      <c r="I416" s="47" t="s">
        <v>8701</v>
      </c>
      <c r="J416" s="48">
        <v>46052</v>
      </c>
      <c r="K416" s="47">
        <v>9417233208</v>
      </c>
      <c r="L416" s="47" t="s">
        <v>106</v>
      </c>
      <c r="M416" s="49"/>
      <c r="N416" s="48"/>
      <c r="O416" s="47"/>
      <c r="P416" s="50"/>
      <c r="Q416" s="47"/>
      <c r="R416" s="47"/>
    </row>
    <row r="417" spans="1:18" x14ac:dyDescent="0.25">
      <c r="A417" s="47">
        <f t="shared" si="12"/>
        <v>416</v>
      </c>
      <c r="B417" s="47" t="s">
        <v>8494</v>
      </c>
      <c r="C417" s="47" t="s">
        <v>8490</v>
      </c>
      <c r="D417" s="47" t="s">
        <v>8491</v>
      </c>
      <c r="E417" s="47" t="s">
        <v>8492</v>
      </c>
      <c r="F417" s="47" t="s">
        <v>125</v>
      </c>
      <c r="G417" s="47" t="s">
        <v>199</v>
      </c>
      <c r="H417" s="47" t="str">
        <f t="shared" si="13"/>
        <v>BUDGAM</v>
      </c>
      <c r="I417" s="47" t="s">
        <v>8514</v>
      </c>
      <c r="J417" s="48">
        <v>46052</v>
      </c>
      <c r="K417" s="47">
        <v>9541509928</v>
      </c>
      <c r="L417" s="47" t="s">
        <v>176</v>
      </c>
      <c r="M417" s="49" t="s">
        <v>8228</v>
      </c>
      <c r="N417" s="48">
        <v>46058</v>
      </c>
      <c r="O417" s="47" t="s">
        <v>23</v>
      </c>
      <c r="P417" s="50">
        <v>46058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8493</v>
      </c>
      <c r="C418" s="47" t="s">
        <v>8495</v>
      </c>
      <c r="D418" s="47" t="s">
        <v>8496</v>
      </c>
      <c r="E418" s="47" t="s">
        <v>8497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8513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8510</v>
      </c>
      <c r="C419" s="47" t="s">
        <v>8507</v>
      </c>
      <c r="D419" s="47" t="s">
        <v>8508</v>
      </c>
      <c r="E419" s="47" t="s">
        <v>8509</v>
      </c>
      <c r="F419" s="47" t="s">
        <v>31</v>
      </c>
      <c r="G419" s="47" t="s">
        <v>175</v>
      </c>
      <c r="H419" s="47" t="str">
        <f t="shared" si="13"/>
        <v>SRINAGAR</v>
      </c>
      <c r="I419" s="47" t="s">
        <v>8518</v>
      </c>
      <c r="J419" s="48">
        <v>46053</v>
      </c>
      <c r="K419" s="47">
        <v>9541399468</v>
      </c>
      <c r="L419" s="47" t="s">
        <v>43</v>
      </c>
      <c r="M419" s="49" t="s">
        <v>8545</v>
      </c>
      <c r="N419" s="48">
        <v>46053</v>
      </c>
      <c r="O419" s="47" t="s">
        <v>23</v>
      </c>
      <c r="P419" s="50">
        <v>46053</v>
      </c>
      <c r="Q419" s="47" t="s">
        <v>6460</v>
      </c>
      <c r="R419" s="47"/>
    </row>
    <row r="420" spans="1:18" x14ac:dyDescent="0.25">
      <c r="A420" s="47">
        <f t="shared" si="12"/>
        <v>419</v>
      </c>
      <c r="B420" s="47" t="s">
        <v>8515</v>
      </c>
      <c r="C420" s="47" t="s">
        <v>8516</v>
      </c>
      <c r="D420" s="47" t="s">
        <v>8517</v>
      </c>
      <c r="E420" s="47" t="s">
        <v>4947</v>
      </c>
      <c r="F420" s="47" t="s">
        <v>100</v>
      </c>
      <c r="G420" s="47" t="s">
        <v>174</v>
      </c>
      <c r="H420" s="47" t="str">
        <f t="shared" si="13"/>
        <v>BUDGAM</v>
      </c>
      <c r="I420" s="47" t="s">
        <v>8519</v>
      </c>
      <c r="J420" s="48">
        <v>46053</v>
      </c>
      <c r="K420" s="47">
        <v>6006480663</v>
      </c>
      <c r="L420" s="47" t="s">
        <v>70</v>
      </c>
      <c r="M420" s="49" t="s">
        <v>7954</v>
      </c>
      <c r="N420" s="48">
        <v>46055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8540</v>
      </c>
      <c r="C421" s="47" t="s">
        <v>8541</v>
      </c>
      <c r="D421" s="47" t="s">
        <v>8542</v>
      </c>
      <c r="E421" s="47" t="s">
        <v>8543</v>
      </c>
      <c r="F421" s="47" t="s">
        <v>12</v>
      </c>
      <c r="G421" s="47" t="s">
        <v>200</v>
      </c>
      <c r="H421" s="47" t="str">
        <f t="shared" si="13"/>
        <v>KUPWARA</v>
      </c>
      <c r="I421" s="47" t="s">
        <v>8544</v>
      </c>
      <c r="J421" s="48">
        <v>46053</v>
      </c>
      <c r="K421" s="47">
        <v>7006565735</v>
      </c>
      <c r="L421" s="47" t="s">
        <v>26</v>
      </c>
      <c r="M421" s="49" t="s">
        <v>8667</v>
      </c>
      <c r="N421" s="48">
        <v>46057</v>
      </c>
      <c r="O421" s="47" t="s">
        <v>23</v>
      </c>
      <c r="P421" s="50">
        <v>46055</v>
      </c>
      <c r="Q421" s="47" t="s">
        <v>6460</v>
      </c>
      <c r="R421" s="47"/>
    </row>
    <row r="422" spans="1:18" x14ac:dyDescent="0.25">
      <c r="A422" s="47">
        <f t="shared" si="12"/>
        <v>421</v>
      </c>
      <c r="B422" s="47" t="s">
        <v>8546</v>
      </c>
      <c r="C422" s="47" t="s">
        <v>8547</v>
      </c>
      <c r="D422" s="47" t="s">
        <v>8548</v>
      </c>
      <c r="E422" s="47" t="s">
        <v>8549</v>
      </c>
      <c r="F422" s="47" t="s">
        <v>100</v>
      </c>
      <c r="G422" s="47" t="s">
        <v>200</v>
      </c>
      <c r="H422" s="47" t="str">
        <f t="shared" si="13"/>
        <v>BANDIPORA</v>
      </c>
      <c r="I422" s="47" t="s">
        <v>8554</v>
      </c>
      <c r="J422" s="48">
        <v>46053</v>
      </c>
      <c r="K422" s="47">
        <v>8491846904</v>
      </c>
      <c r="L422" s="47" t="s">
        <v>1228</v>
      </c>
      <c r="M422" s="49" t="s">
        <v>8639</v>
      </c>
      <c r="N422" s="48">
        <v>46056</v>
      </c>
      <c r="O422" s="47" t="s">
        <v>23</v>
      </c>
      <c r="P422" s="50">
        <v>46055</v>
      </c>
      <c r="Q422" s="47" t="s">
        <v>6460</v>
      </c>
      <c r="R422" s="47"/>
    </row>
    <row r="423" spans="1:18" x14ac:dyDescent="0.25">
      <c r="A423" s="47">
        <f t="shared" si="12"/>
        <v>422</v>
      </c>
      <c r="B423" s="47" t="s">
        <v>8553</v>
      </c>
      <c r="C423" s="47" t="s">
        <v>8550</v>
      </c>
      <c r="D423" s="47" t="s">
        <v>8551</v>
      </c>
      <c r="E423" s="47" t="s">
        <v>8552</v>
      </c>
      <c r="F423" s="47" t="s">
        <v>67</v>
      </c>
      <c r="G423" s="47" t="s">
        <v>226</v>
      </c>
      <c r="H423" s="47" t="str">
        <f t="shared" si="13"/>
        <v>SRINAGAR</v>
      </c>
      <c r="I423" s="47" t="s">
        <v>8555</v>
      </c>
      <c r="J423" s="48">
        <v>46053</v>
      </c>
      <c r="K423" s="47">
        <v>7006454352</v>
      </c>
      <c r="L423" s="47" t="s">
        <v>307</v>
      </c>
      <c r="M423" s="49" t="s">
        <v>8093</v>
      </c>
      <c r="N423" s="48">
        <v>46059</v>
      </c>
      <c r="O423" s="47" t="s">
        <v>23</v>
      </c>
      <c r="P423" s="50">
        <v>46056</v>
      </c>
      <c r="Q423" s="47" t="s">
        <v>6460</v>
      </c>
      <c r="R423" s="47"/>
    </row>
    <row r="424" spans="1:18" x14ac:dyDescent="0.25">
      <c r="A424" s="47">
        <f t="shared" si="12"/>
        <v>423</v>
      </c>
      <c r="B424" s="47" t="s">
        <v>8521</v>
      </c>
      <c r="C424" s="47" t="s">
        <v>8522</v>
      </c>
      <c r="D424" s="47" t="s">
        <v>8523</v>
      </c>
      <c r="E424" s="47" t="s">
        <v>8524</v>
      </c>
      <c r="F424" s="47" t="s">
        <v>12</v>
      </c>
      <c r="G424" s="47" t="s">
        <v>200</v>
      </c>
      <c r="H424" s="47" t="str">
        <f t="shared" si="13"/>
        <v>SHOPIAN</v>
      </c>
      <c r="I424" s="47" t="s">
        <v>8530</v>
      </c>
      <c r="J424" s="48">
        <v>46053</v>
      </c>
      <c r="K424" s="47">
        <v>7006268218</v>
      </c>
      <c r="L424" s="47" t="s">
        <v>6521</v>
      </c>
      <c r="M424" s="49" t="s">
        <v>8618</v>
      </c>
      <c r="N424" s="48">
        <v>46057</v>
      </c>
      <c r="O424" s="47"/>
      <c r="P424" s="50"/>
      <c r="Q424" s="47"/>
      <c r="R424" s="47" t="s">
        <v>8623</v>
      </c>
    </row>
    <row r="425" spans="1:18" x14ac:dyDescent="0.25">
      <c r="A425" s="47">
        <f t="shared" si="12"/>
        <v>424</v>
      </c>
      <c r="B425" s="47" t="s">
        <v>8528</v>
      </c>
      <c r="C425" s="47" t="s">
        <v>8525</v>
      </c>
      <c r="D425" s="47" t="s">
        <v>8526</v>
      </c>
      <c r="E425" s="47" t="s">
        <v>8527</v>
      </c>
      <c r="F425" s="47" t="s">
        <v>67</v>
      </c>
      <c r="G425" s="47" t="s">
        <v>199</v>
      </c>
      <c r="H425" s="47" t="str">
        <f t="shared" si="13"/>
        <v>PULWAMA</v>
      </c>
      <c r="I425" s="47" t="s">
        <v>8529</v>
      </c>
      <c r="J425" s="48">
        <v>46053</v>
      </c>
      <c r="K425" s="47">
        <v>7006019277</v>
      </c>
      <c r="L425" s="47" t="s">
        <v>6451</v>
      </c>
      <c r="M425" s="49"/>
      <c r="N425" s="48"/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8535</v>
      </c>
      <c r="C426" s="47" t="s">
        <v>8536</v>
      </c>
      <c r="D426" s="47" t="s">
        <v>8537</v>
      </c>
      <c r="E426" s="47" t="s">
        <v>8538</v>
      </c>
      <c r="F426" s="47" t="s">
        <v>31</v>
      </c>
      <c r="G426" s="47" t="s">
        <v>175</v>
      </c>
      <c r="H426" s="47" t="str">
        <f t="shared" si="13"/>
        <v>BANDIPORA</v>
      </c>
      <c r="I426" s="47" t="s">
        <v>8539</v>
      </c>
      <c r="J426" s="48">
        <v>46053</v>
      </c>
      <c r="K426" s="47">
        <v>8082560332</v>
      </c>
      <c r="L426" s="47" t="s">
        <v>307</v>
      </c>
      <c r="M426" s="49"/>
      <c r="N426" s="48"/>
      <c r="O426" s="47"/>
      <c r="P426" s="50"/>
      <c r="Q426" s="47"/>
      <c r="R426" s="47"/>
    </row>
    <row r="427" spans="1:18" x14ac:dyDescent="0.25">
      <c r="A427" s="47">
        <f t="shared" si="12"/>
        <v>426</v>
      </c>
      <c r="B427" s="47" t="s">
        <v>8562</v>
      </c>
      <c r="C427" s="47" t="s">
        <v>8563</v>
      </c>
      <c r="D427" s="47" t="s">
        <v>8564</v>
      </c>
      <c r="E427" s="47" t="s">
        <v>1535</v>
      </c>
      <c r="F427" s="47" t="s">
        <v>12</v>
      </c>
      <c r="G427" s="47" t="s">
        <v>200</v>
      </c>
      <c r="H427" s="47" t="str">
        <f t="shared" si="13"/>
        <v>BANDIPORA</v>
      </c>
      <c r="I427" s="47" t="s">
        <v>8572</v>
      </c>
      <c r="J427" s="48">
        <v>46055</v>
      </c>
      <c r="K427" s="47">
        <v>7006437389</v>
      </c>
      <c r="L427" s="47" t="s">
        <v>307</v>
      </c>
      <c r="M427" s="49" t="s">
        <v>8093</v>
      </c>
      <c r="N427" s="48">
        <v>46056</v>
      </c>
      <c r="O427" s="47" t="s">
        <v>23</v>
      </c>
      <c r="P427" s="50">
        <v>46055</v>
      </c>
      <c r="Q427" s="47" t="s">
        <v>6460</v>
      </c>
      <c r="R427" s="47"/>
    </row>
    <row r="428" spans="1:18" x14ac:dyDescent="0.25">
      <c r="A428" s="47">
        <f t="shared" si="12"/>
        <v>427</v>
      </c>
      <c r="B428" s="47" t="s">
        <v>8567</v>
      </c>
      <c r="C428" s="47" t="s">
        <v>8568</v>
      </c>
      <c r="D428" s="47" t="s">
        <v>8569</v>
      </c>
      <c r="E428" s="47" t="s">
        <v>8570</v>
      </c>
      <c r="F428" s="47" t="s">
        <v>193</v>
      </c>
      <c r="G428" s="47" t="s">
        <v>200</v>
      </c>
      <c r="H428" s="47" t="str">
        <f t="shared" si="13"/>
        <v>BARAMULLA</v>
      </c>
      <c r="I428" s="47" t="s">
        <v>8571</v>
      </c>
      <c r="J428" s="48">
        <v>46055</v>
      </c>
      <c r="K428" s="47">
        <v>7006303640</v>
      </c>
      <c r="L428" s="47" t="s">
        <v>2172</v>
      </c>
      <c r="M428" s="49"/>
      <c r="N428" s="48"/>
      <c r="O428" s="47" t="s">
        <v>23</v>
      </c>
      <c r="P428" s="50">
        <v>46055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8577</v>
      </c>
      <c r="C429" s="47" t="s">
        <v>8578</v>
      </c>
      <c r="D429" s="47" t="s">
        <v>8579</v>
      </c>
      <c r="E429" s="47" t="s">
        <v>8580</v>
      </c>
      <c r="F429" s="47" t="s">
        <v>12</v>
      </c>
      <c r="G429" s="47" t="s">
        <v>181</v>
      </c>
      <c r="H429" s="47" t="str">
        <f t="shared" si="13"/>
        <v>SRINAGAR</v>
      </c>
      <c r="I429" s="47" t="s">
        <v>8591</v>
      </c>
      <c r="J429" s="48">
        <v>46055</v>
      </c>
      <c r="K429" s="47">
        <v>9596163347</v>
      </c>
      <c r="L429" s="47" t="s">
        <v>484</v>
      </c>
      <c r="M429" s="49" t="s">
        <v>7773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8584</v>
      </c>
      <c r="C430" s="47" t="s">
        <v>8581</v>
      </c>
      <c r="D430" s="47" t="s">
        <v>8583</v>
      </c>
      <c r="E430" s="47" t="s">
        <v>8582</v>
      </c>
      <c r="F430" s="47" t="s">
        <v>12</v>
      </c>
      <c r="G430" s="47" t="s">
        <v>200</v>
      </c>
      <c r="H430" s="47" t="str">
        <f t="shared" si="13"/>
        <v>BUDGAM</v>
      </c>
      <c r="I430" s="47" t="s">
        <v>8590</v>
      </c>
      <c r="J430" s="48">
        <v>46055</v>
      </c>
      <c r="K430" s="47">
        <v>9149805099</v>
      </c>
      <c r="L430" s="47" t="s">
        <v>70</v>
      </c>
      <c r="M430" s="49" t="s">
        <v>7954</v>
      </c>
      <c r="N430" s="48">
        <v>46058</v>
      </c>
      <c r="O430" s="47" t="s">
        <v>23</v>
      </c>
      <c r="P430" s="50">
        <v>46056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8589</v>
      </c>
      <c r="C431" s="47" t="s">
        <v>8585</v>
      </c>
      <c r="D431" s="47" t="s">
        <v>8586</v>
      </c>
      <c r="E431" s="47" t="s">
        <v>8587</v>
      </c>
      <c r="F431" s="47" t="s">
        <v>119</v>
      </c>
      <c r="G431" s="47" t="s">
        <v>175</v>
      </c>
      <c r="H431" s="47" t="str">
        <f t="shared" si="13"/>
        <v>SRINAGAR</v>
      </c>
      <c r="I431" s="47" t="s">
        <v>8588</v>
      </c>
      <c r="J431" s="48">
        <v>46056</v>
      </c>
      <c r="K431" s="47">
        <v>7006430337</v>
      </c>
      <c r="L431" s="47" t="s">
        <v>26</v>
      </c>
      <c r="M431" s="49"/>
      <c r="N431" s="48"/>
      <c r="O431" s="47" t="s">
        <v>23</v>
      </c>
      <c r="P431" s="50">
        <v>46056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8596</v>
      </c>
      <c r="C432" s="47" t="s">
        <v>8592</v>
      </c>
      <c r="D432" s="47" t="s">
        <v>8593</v>
      </c>
      <c r="E432" s="47" t="s">
        <v>8594</v>
      </c>
      <c r="F432" s="47" t="s">
        <v>12</v>
      </c>
      <c r="G432" s="47" t="s">
        <v>200</v>
      </c>
      <c r="H432" s="47" t="str">
        <f t="shared" si="13"/>
        <v>BUDGAM</v>
      </c>
      <c r="I432" s="47" t="s">
        <v>8607</v>
      </c>
      <c r="J432" s="48">
        <v>46056</v>
      </c>
      <c r="K432" s="47">
        <v>9596131756</v>
      </c>
      <c r="L432" s="47" t="s">
        <v>2172</v>
      </c>
      <c r="M432" s="49" t="s">
        <v>7714</v>
      </c>
      <c r="N432" s="48">
        <v>46057</v>
      </c>
      <c r="O432" s="47" t="s">
        <v>23</v>
      </c>
      <c r="P432" s="50">
        <v>46056</v>
      </c>
      <c r="Q432" s="47" t="s">
        <v>6460</v>
      </c>
      <c r="R432" s="47"/>
    </row>
    <row r="433" spans="1:18" x14ac:dyDescent="0.25">
      <c r="A433" s="47">
        <f t="shared" si="12"/>
        <v>432</v>
      </c>
      <c r="B433" s="47" t="s">
        <v>8597</v>
      </c>
      <c r="C433" s="47" t="s">
        <v>8598</v>
      </c>
      <c r="D433" s="47" t="s">
        <v>8599</v>
      </c>
      <c r="E433" s="47" t="s">
        <v>8600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8601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8614</v>
      </c>
      <c r="C434" s="47" t="s">
        <v>8612</v>
      </c>
      <c r="D434" s="47" t="s">
        <v>8613</v>
      </c>
      <c r="E434" s="47" t="s">
        <v>7147</v>
      </c>
      <c r="F434" s="47" t="s">
        <v>31</v>
      </c>
      <c r="G434" s="47" t="s">
        <v>221</v>
      </c>
      <c r="H434" s="47" t="str">
        <f t="shared" si="13"/>
        <v>BUDGAM</v>
      </c>
      <c r="I434" s="47" t="s">
        <v>8617</v>
      </c>
      <c r="J434" s="48">
        <v>46056</v>
      </c>
      <c r="K434" s="47">
        <v>7006035930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 t="shared" si="12"/>
        <v>434</v>
      </c>
      <c r="B435" s="47" t="s">
        <v>8622</v>
      </c>
      <c r="C435" s="47" t="s">
        <v>8619</v>
      </c>
      <c r="D435" s="47" t="s">
        <v>8620</v>
      </c>
      <c r="E435" s="47" t="s">
        <v>8621</v>
      </c>
      <c r="F435" s="47" t="s">
        <v>12</v>
      </c>
      <c r="G435" s="47" t="s">
        <v>200</v>
      </c>
      <c r="H435" s="47" t="str">
        <f t="shared" si="13"/>
        <v>SRINAGAR</v>
      </c>
      <c r="I435" s="47" t="s">
        <v>8629</v>
      </c>
      <c r="J435" s="48">
        <v>46056</v>
      </c>
      <c r="K435" s="47">
        <v>9419066721</v>
      </c>
      <c r="L435" s="47" t="s">
        <v>7872</v>
      </c>
      <c r="M435" s="49" t="s">
        <v>8660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 t="shared" si="12"/>
        <v>435</v>
      </c>
      <c r="B436" s="47" t="s">
        <v>8628</v>
      </c>
      <c r="C436" s="47" t="s">
        <v>8625</v>
      </c>
      <c r="D436" s="47" t="s">
        <v>8626</v>
      </c>
      <c r="E436" s="47" t="s">
        <v>8627</v>
      </c>
      <c r="F436" s="47" t="s">
        <v>5</v>
      </c>
      <c r="G436" s="47" t="s">
        <v>200</v>
      </c>
      <c r="H436" s="47" t="str">
        <f t="shared" si="13"/>
        <v>BUDGAM</v>
      </c>
      <c r="I436" s="47" t="s">
        <v>8630</v>
      </c>
      <c r="J436" s="48">
        <v>46056</v>
      </c>
      <c r="K436" s="47">
        <v>9682506898</v>
      </c>
      <c r="L436" s="47" t="s">
        <v>43</v>
      </c>
      <c r="M436" s="49" t="s">
        <v>8659</v>
      </c>
      <c r="N436" s="48">
        <v>46057</v>
      </c>
      <c r="O436" s="47" t="s">
        <v>23</v>
      </c>
      <c r="P436" s="50">
        <v>46056</v>
      </c>
      <c r="Q436" s="47" t="s">
        <v>8167</v>
      </c>
      <c r="R436" s="47"/>
    </row>
    <row r="437" spans="1:18" x14ac:dyDescent="0.25">
      <c r="A437" s="47">
        <f t="shared" si="12"/>
        <v>436</v>
      </c>
      <c r="B437" s="47" t="s">
        <v>8606</v>
      </c>
      <c r="C437" s="47" t="s">
        <v>8602</v>
      </c>
      <c r="D437" s="47" t="s">
        <v>8603</v>
      </c>
      <c r="E437" s="47" t="s">
        <v>8604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8608</v>
      </c>
      <c r="J437" s="48">
        <v>46056</v>
      </c>
      <c r="K437" s="47">
        <v>7051726656</v>
      </c>
      <c r="L437" s="47" t="s">
        <v>8605</v>
      </c>
      <c r="M437" s="49" t="s">
        <v>8618</v>
      </c>
      <c r="N437" s="48">
        <v>46057</v>
      </c>
      <c r="O437" s="47" t="s">
        <v>23</v>
      </c>
      <c r="P437" s="50">
        <v>46057</v>
      </c>
      <c r="Q437" s="47" t="s">
        <v>6460</v>
      </c>
      <c r="R437" s="47" t="s">
        <v>8624</v>
      </c>
    </row>
    <row r="438" spans="1:18" x14ac:dyDescent="0.25">
      <c r="A438" s="47">
        <f t="shared" si="12"/>
        <v>437</v>
      </c>
      <c r="B438" s="47" t="s">
        <v>8609</v>
      </c>
      <c r="C438" s="47" t="s">
        <v>8610</v>
      </c>
      <c r="D438" s="47" t="s">
        <v>8611</v>
      </c>
      <c r="E438" s="47" t="s">
        <v>1959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8616</v>
      </c>
      <c r="J438" s="48">
        <v>46056</v>
      </c>
      <c r="K438" s="47">
        <v>7780875890</v>
      </c>
      <c r="L438" s="47" t="s">
        <v>110</v>
      </c>
      <c r="M438" s="49" t="s">
        <v>8669</v>
      </c>
      <c r="N438" s="48">
        <v>46057</v>
      </c>
      <c r="O438" s="47" t="s">
        <v>23</v>
      </c>
      <c r="P438" s="50">
        <v>46057</v>
      </c>
      <c r="Q438" s="47" t="s">
        <v>8675</v>
      </c>
      <c r="R438" s="47"/>
    </row>
    <row r="439" spans="1:18" x14ac:dyDescent="0.25">
      <c r="A439" s="47">
        <f t="shared" si="12"/>
        <v>438</v>
      </c>
      <c r="B439" s="47" t="s">
        <v>8646</v>
      </c>
      <c r="C439" s="47" t="s">
        <v>8643</v>
      </c>
      <c r="D439" s="47" t="s">
        <v>8644</v>
      </c>
      <c r="E439" s="47" t="s">
        <v>8645</v>
      </c>
      <c r="F439" s="47" t="s">
        <v>100</v>
      </c>
      <c r="G439" s="47" t="s">
        <v>200</v>
      </c>
      <c r="H439" s="47" t="str">
        <f t="shared" si="13"/>
        <v>BARAMULLA</v>
      </c>
      <c r="I439" s="47" t="s">
        <v>8649</v>
      </c>
      <c r="J439" s="48">
        <v>46056</v>
      </c>
      <c r="K439" s="47">
        <v>7889568261</v>
      </c>
      <c r="L439" s="47" t="s">
        <v>484</v>
      </c>
      <c r="M439" s="49"/>
      <c r="N439" s="48"/>
      <c r="O439" s="47"/>
      <c r="P439" s="50"/>
      <c r="Q439" s="47"/>
      <c r="R439" s="47"/>
    </row>
    <row r="440" spans="1:18" x14ac:dyDescent="0.25">
      <c r="A440" s="47">
        <f t="shared" si="12"/>
        <v>439</v>
      </c>
      <c r="B440" s="47" t="s">
        <v>8640</v>
      </c>
      <c r="C440" s="47" t="s">
        <v>8641</v>
      </c>
      <c r="D440" s="47" t="s">
        <v>8642</v>
      </c>
      <c r="E440" s="47" t="s">
        <v>1635</v>
      </c>
      <c r="F440" s="47" t="s">
        <v>67</v>
      </c>
      <c r="G440" s="47" t="s">
        <v>199</v>
      </c>
      <c r="H440" s="47" t="str">
        <f t="shared" si="13"/>
        <v>PULWAMA</v>
      </c>
      <c r="I440" s="47" t="s">
        <v>8651</v>
      </c>
      <c r="J440" s="48">
        <v>46057</v>
      </c>
      <c r="K440" s="47">
        <v>7006730627</v>
      </c>
      <c r="L440" s="47" t="s">
        <v>18</v>
      </c>
      <c r="M440" s="49"/>
      <c r="N440" s="48"/>
      <c r="O440" s="47" t="s">
        <v>23</v>
      </c>
      <c r="P440" s="50">
        <v>46057</v>
      </c>
      <c r="Q440" s="47" t="s">
        <v>6460</v>
      </c>
      <c r="R440" s="47"/>
    </row>
    <row r="441" spans="1:18" x14ac:dyDescent="0.25">
      <c r="A441" s="47">
        <f t="shared" si="12"/>
        <v>440</v>
      </c>
      <c r="B441" s="47" t="s">
        <v>8653</v>
      </c>
      <c r="C441" s="47" t="s">
        <v>8654</v>
      </c>
      <c r="D441" s="47" t="s">
        <v>8655</v>
      </c>
      <c r="E441" s="47" t="s">
        <v>8176</v>
      </c>
      <c r="F441" s="47" t="s">
        <v>5</v>
      </c>
      <c r="G441" s="47" t="s">
        <v>174</v>
      </c>
      <c r="H441" s="47" t="str">
        <f t="shared" si="13"/>
        <v>PULWAMA</v>
      </c>
      <c r="I441" s="47" t="s">
        <v>8656</v>
      </c>
      <c r="J441" s="48">
        <v>46057</v>
      </c>
      <c r="K441" s="47">
        <v>8803618337</v>
      </c>
      <c r="L441" s="47" t="s">
        <v>26</v>
      </c>
      <c r="M441" s="49"/>
      <c r="N441" s="48"/>
      <c r="O441" s="47"/>
      <c r="P441" s="50"/>
      <c r="Q441" s="47"/>
      <c r="R441" s="47"/>
    </row>
    <row r="442" spans="1:18" x14ac:dyDescent="0.25">
      <c r="A442" s="47">
        <f t="shared" si="12"/>
        <v>441</v>
      </c>
      <c r="B442" s="47" t="s">
        <v>8671</v>
      </c>
      <c r="C442" s="47" t="s">
        <v>8672</v>
      </c>
      <c r="D442" s="47" t="s">
        <v>8673</v>
      </c>
      <c r="E442" s="47" t="s">
        <v>8674</v>
      </c>
      <c r="F442" s="47" t="s">
        <v>100</v>
      </c>
      <c r="G442" s="47" t="s">
        <v>181</v>
      </c>
      <c r="H442" s="47" t="str">
        <f t="shared" ref="H442:H451" si="14">IF(LEFT(I442,4)="JK13","PULWAMA",IF(LEFT(I442,4)="JK01","SRINAGAR",IF(LEFT(I442,4)="JK04","BUDGAM",IF(LEFT(I442,4)="JK03","ANANTNAG",IF(LEFT(I442,4)="JK05","BARAMULLA",IF(LEFT(I442,4)="26BH","BHARAT",IF(LEFT(I442,4)="25BH","BHARAT",IF(LEFT(I442,4)="JK12","POONCH",IF(LEFT(I442,4)="JK18","KULGAM",IF(LEFT(I442,4)="JK22","SHOPIAN",IF(LEFT(I442,4)="JK02","JAMMU",IF(LEFT(I442,4)="JK09","KUPWARA",IF(LEFT(I442,4)="JK15","BANDIPORA",IF(LEFT(I442,4)="JK17","KISHTWAR",IF(LEFT(I442,4)="LA01","KARGIL",IF(LEFT(I442,1)="T","TEMP","NEW"))))))))))))))))</f>
        <v>SHOPIAN</v>
      </c>
      <c r="I442" s="47" t="s">
        <v>8682</v>
      </c>
      <c r="J442" s="48">
        <v>46058</v>
      </c>
      <c r="K442" s="47">
        <v>9419783314</v>
      </c>
      <c r="L442" s="47" t="s">
        <v>7699</v>
      </c>
      <c r="M442" s="49"/>
      <c r="N442" s="48"/>
      <c r="O442" s="47" t="s">
        <v>23</v>
      </c>
      <c r="P442" s="50">
        <v>46059</v>
      </c>
      <c r="Q442" s="47" t="s">
        <v>8707</v>
      </c>
      <c r="R442" s="47"/>
    </row>
    <row r="443" spans="1:18" x14ac:dyDescent="0.25">
      <c r="A443" s="47">
        <f t="shared" si="12"/>
        <v>442</v>
      </c>
      <c r="B443" s="47" t="s">
        <v>8681</v>
      </c>
      <c r="C443" s="47" t="s">
        <v>8678</v>
      </c>
      <c r="D443" s="47" t="s">
        <v>8679</v>
      </c>
      <c r="E443" s="47" t="s">
        <v>4004</v>
      </c>
      <c r="F443" s="47" t="s">
        <v>281</v>
      </c>
      <c r="G443" s="47" t="s">
        <v>199</v>
      </c>
      <c r="H443" s="47" t="str">
        <f t="shared" si="14"/>
        <v>PULWAMA</v>
      </c>
      <c r="I443" s="47" t="s">
        <v>8683</v>
      </c>
      <c r="J443" s="48">
        <v>46058</v>
      </c>
      <c r="K443" s="47">
        <v>9858814104</v>
      </c>
      <c r="L443" s="47" t="s">
        <v>8680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8685</v>
      </c>
      <c r="C444" s="47" t="s">
        <v>8686</v>
      </c>
      <c r="D444" s="47" t="s">
        <v>8687</v>
      </c>
      <c r="E444" s="47" t="s">
        <v>8688</v>
      </c>
      <c r="F444" s="47" t="s">
        <v>119</v>
      </c>
      <c r="G444" s="47" t="s">
        <v>175</v>
      </c>
      <c r="H444" s="47" t="str">
        <f t="shared" si="14"/>
        <v>PULWAMA</v>
      </c>
      <c r="I444" s="47" t="s">
        <v>8694</v>
      </c>
      <c r="J444" s="48">
        <v>46058</v>
      </c>
      <c r="K444" s="47">
        <v>9541415056</v>
      </c>
      <c r="L444" s="47" t="s">
        <v>6451</v>
      </c>
      <c r="M444" s="49"/>
      <c r="N444" s="48"/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8689</v>
      </c>
      <c r="C445" s="47" t="s">
        <v>8690</v>
      </c>
      <c r="D445" s="47" t="s">
        <v>8691</v>
      </c>
      <c r="E445" s="47" t="s">
        <v>8692</v>
      </c>
      <c r="F445" s="47" t="s">
        <v>100</v>
      </c>
      <c r="G445" s="47" t="s">
        <v>174</v>
      </c>
      <c r="H445" s="47" t="str">
        <f t="shared" si="14"/>
        <v>SHOPIAN</v>
      </c>
      <c r="I445" s="47" t="s">
        <v>8693</v>
      </c>
      <c r="J445" s="48">
        <v>46058</v>
      </c>
      <c r="K445" s="47">
        <v>8825090520</v>
      </c>
      <c r="L445" s="47" t="s">
        <v>6761</v>
      </c>
      <c r="M445" s="49"/>
      <c r="N445" s="48"/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8705</v>
      </c>
      <c r="C446" s="47" t="s">
        <v>8702</v>
      </c>
      <c r="D446" s="47" t="s">
        <v>8703</v>
      </c>
      <c r="E446" s="47" t="s">
        <v>8704</v>
      </c>
      <c r="F446" s="47" t="s">
        <v>31</v>
      </c>
      <c r="G446" s="47" t="s">
        <v>200</v>
      </c>
      <c r="H446" s="47" t="str">
        <f t="shared" si="14"/>
        <v>PULWAMA</v>
      </c>
      <c r="I446" s="47" t="s">
        <v>8706</v>
      </c>
      <c r="J446" s="48">
        <v>46059</v>
      </c>
      <c r="K446" s="47">
        <v>7006790581</v>
      </c>
      <c r="L446" s="47" t="s">
        <v>7872</v>
      </c>
      <c r="M446" s="49"/>
      <c r="N446" s="48"/>
      <c r="O446" s="47" t="s">
        <v>23</v>
      </c>
      <c r="P446" s="50">
        <v>46059</v>
      </c>
      <c r="Q446" s="47" t="s">
        <v>6460</v>
      </c>
      <c r="R446" s="47"/>
    </row>
    <row r="447" spans="1:18" x14ac:dyDescent="0.25">
      <c r="A447" s="47">
        <f t="shared" si="12"/>
        <v>446</v>
      </c>
      <c r="B447" s="47"/>
      <c r="C447" s="47"/>
      <c r="D447" s="47"/>
      <c r="E447" s="47"/>
      <c r="F447" s="47"/>
      <c r="G447" s="47"/>
      <c r="H447" s="47" t="str">
        <f t="shared" si="14"/>
        <v>NEW</v>
      </c>
      <c r="I447" s="47"/>
      <c r="J447" s="48"/>
      <c r="K447" s="47"/>
      <c r="L447" s="47"/>
      <c r="M447" s="49"/>
      <c r="N447" s="48"/>
      <c r="O447" s="47"/>
      <c r="P447" s="50"/>
      <c r="Q447" s="47"/>
      <c r="R447" s="47"/>
    </row>
    <row r="448" spans="1:18" x14ac:dyDescent="0.25">
      <c r="A448" s="47">
        <f t="shared" si="12"/>
        <v>447</v>
      </c>
      <c r="B448" s="47"/>
      <c r="C448" s="47"/>
      <c r="D448" s="47"/>
      <c r="E448" s="47"/>
      <c r="F448" s="47"/>
      <c r="G448" s="47"/>
      <c r="H448" s="47" t="str">
        <f t="shared" si="14"/>
        <v>NEW</v>
      </c>
      <c r="I448" s="47"/>
      <c r="J448" s="48"/>
      <c r="K448" s="47"/>
      <c r="L448" s="47"/>
      <c r="M448" s="49"/>
      <c r="N448" s="48"/>
      <c r="O448" s="47"/>
      <c r="P448" s="50"/>
      <c r="Q448" s="47"/>
      <c r="R448" s="47"/>
    </row>
    <row r="449" spans="1:18" x14ac:dyDescent="0.25">
      <c r="A449" s="47">
        <f t="shared" si="12"/>
        <v>448</v>
      </c>
      <c r="B449" s="47"/>
      <c r="C449" s="47"/>
      <c r="D449" s="47"/>
      <c r="E449" s="47"/>
      <c r="F449" s="47"/>
      <c r="G449" s="47"/>
      <c r="H449" s="47" t="str">
        <f t="shared" si="14"/>
        <v>NEW</v>
      </c>
      <c r="I449" s="47"/>
      <c r="J449" s="48"/>
      <c r="K449" s="47"/>
      <c r="L449" s="47"/>
      <c r="M449" s="49"/>
      <c r="N449" s="48"/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/>
      <c r="C450" s="47"/>
      <c r="D450" s="47"/>
      <c r="E450" s="47"/>
      <c r="F450" s="47"/>
      <c r="G450" s="47"/>
      <c r="H450" s="47" t="str">
        <f t="shared" si="14"/>
        <v>NEW</v>
      </c>
      <c r="I450" s="47"/>
      <c r="J450" s="48"/>
      <c r="K450" s="47"/>
      <c r="L450" s="47"/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/>
      <c r="C451" s="47"/>
      <c r="D451" s="47"/>
      <c r="E451" s="47"/>
      <c r="F451" s="47"/>
      <c r="G451" s="47"/>
      <c r="H451" s="47" t="str">
        <f t="shared" si="14"/>
        <v>NEW</v>
      </c>
      <c r="I451" s="47"/>
      <c r="J451" s="48"/>
      <c r="K451" s="47"/>
      <c r="L451" s="47"/>
      <c r="M451" s="49"/>
      <c r="N451" s="48"/>
      <c r="O451" s="47"/>
      <c r="P451" s="50"/>
      <c r="Q451" s="47"/>
      <c r="R451" s="47"/>
    </row>
    <row r="452" spans="1:18" ht="15.75" x14ac:dyDescent="0.25">
      <c r="B452" s="47"/>
      <c r="C452" s="47"/>
      <c r="D452" s="47"/>
      <c r="E452" s="47"/>
      <c r="F452" s="47"/>
      <c r="G452" s="47"/>
      <c r="H452" s="1"/>
      <c r="I452" s="47"/>
      <c r="J452" s="19"/>
      <c r="K452" s="47"/>
      <c r="M452" t="s">
        <v>44</v>
      </c>
    </row>
    <row r="453" spans="1:18" ht="15.75" x14ac:dyDescent="0.25">
      <c r="F453" s="1"/>
      <c r="G453" s="1"/>
      <c r="H453" s="1"/>
      <c r="I453" s="20"/>
      <c r="K453" s="47"/>
    </row>
    <row r="454" spans="1:18" ht="15.75" x14ac:dyDescent="0.25">
      <c r="F454" s="1"/>
      <c r="G454" s="1"/>
      <c r="H454" s="1"/>
      <c r="I454" s="20"/>
      <c r="K454" s="47"/>
    </row>
    <row r="455" spans="1:18" ht="15.75" x14ac:dyDescent="0.25">
      <c r="F455" s="1"/>
      <c r="G455" s="1"/>
      <c r="H455" s="1"/>
      <c r="I455" s="20"/>
      <c r="K455" s="47"/>
    </row>
    <row r="456" spans="1:18" ht="15.75" x14ac:dyDescent="0.25">
      <c r="C456" s="1"/>
      <c r="D456" s="1"/>
      <c r="E456" s="1"/>
      <c r="F456" s="1"/>
      <c r="G456" s="1"/>
      <c r="H456" s="1"/>
      <c r="I456" s="20"/>
      <c r="K456" s="47"/>
    </row>
    <row r="457" spans="1:18" x14ac:dyDescent="0.25">
      <c r="A457" s="5"/>
      <c r="B457" s="6"/>
      <c r="C457" s="7"/>
      <c r="D457" s="7"/>
      <c r="E457" s="7"/>
      <c r="F457" s="7"/>
      <c r="G457" s="7"/>
      <c r="H457" s="7"/>
      <c r="I457" s="7"/>
      <c r="J457" s="7"/>
      <c r="K457" s="47"/>
      <c r="L457" s="7"/>
      <c r="M457" s="7"/>
      <c r="N457" s="7"/>
      <c r="O457" s="7"/>
      <c r="P457" s="7"/>
      <c r="Q457" s="7"/>
    </row>
    <row r="458" spans="1:18" x14ac:dyDescent="0.25">
      <c r="A458" s="5"/>
      <c r="B458" s="6"/>
      <c r="C458" s="7"/>
      <c r="D458" s="7"/>
      <c r="E458" s="7"/>
      <c r="F458" s="7"/>
      <c r="G458" s="7"/>
      <c r="H458" s="7"/>
      <c r="I458" s="7"/>
      <c r="J458" s="7"/>
      <c r="K458" s="47"/>
      <c r="L458" s="7"/>
      <c r="M458" s="7"/>
      <c r="N458" s="7"/>
      <c r="O458" s="7"/>
      <c r="P458" s="7"/>
      <c r="Q458" s="7"/>
    </row>
    <row r="459" spans="1:18" x14ac:dyDescent="0.25">
      <c r="K459" s="47"/>
    </row>
    <row r="460" spans="1:18" x14ac:dyDescent="0.25">
      <c r="K460" s="47"/>
    </row>
    <row r="461" spans="1:18" x14ac:dyDescent="0.25">
      <c r="K461" s="47"/>
    </row>
    <row r="462" spans="1:18" x14ac:dyDescent="0.25">
      <c r="K462" s="47"/>
    </row>
    <row r="463" spans="1:18" x14ac:dyDescent="0.25">
      <c r="K463" s="47"/>
    </row>
    <row r="464" spans="1:18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x14ac:dyDescent="0.25">
      <c r="K525" s="47"/>
    </row>
    <row r="526" spans="11:11" x14ac:dyDescent="0.25">
      <c r="K526" s="47"/>
    </row>
    <row r="527" spans="11:11" x14ac:dyDescent="0.25">
      <c r="K527" s="47"/>
    </row>
    <row r="528" spans="11:11" x14ac:dyDescent="0.25">
      <c r="K528" s="47"/>
    </row>
    <row r="529" spans="11:11" x14ac:dyDescent="0.25">
      <c r="K529" s="47"/>
    </row>
    <row r="530" spans="11:11" x14ac:dyDescent="0.25">
      <c r="K530" s="47"/>
    </row>
    <row r="531" spans="11:11" x14ac:dyDescent="0.25">
      <c r="K531" s="47"/>
    </row>
    <row r="532" spans="11:11" x14ac:dyDescent="0.25">
      <c r="K532" s="47"/>
    </row>
    <row r="533" spans="11:11" x14ac:dyDescent="0.25">
      <c r="K533" s="47"/>
    </row>
    <row r="534" spans="11:11" x14ac:dyDescent="0.25">
      <c r="K534" s="47"/>
    </row>
    <row r="535" spans="11:11" x14ac:dyDescent="0.25">
      <c r="K535" s="47"/>
    </row>
    <row r="536" spans="11:11" x14ac:dyDescent="0.25">
      <c r="K536" s="47"/>
    </row>
    <row r="537" spans="11:11" x14ac:dyDescent="0.25">
      <c r="K537" s="47"/>
    </row>
    <row r="538" spans="11:11" x14ac:dyDescent="0.25">
      <c r="K538" s="47"/>
    </row>
    <row r="539" spans="11:11" x14ac:dyDescent="0.25">
      <c r="K539" s="47"/>
    </row>
    <row r="540" spans="11:11" x14ac:dyDescent="0.25">
      <c r="K540" s="47"/>
    </row>
    <row r="541" spans="11:11" x14ac:dyDescent="0.25">
      <c r="K541" s="47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ht="15.75" x14ac:dyDescent="0.25">
      <c r="K574" s="19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x14ac:dyDescent="0.25">
      <c r="K591" s="44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  <row r="613" spans="11:11" ht="15.75" x14ac:dyDescent="0.25">
      <c r="K613" s="19"/>
    </row>
    <row r="614" spans="11:11" ht="15.75" x14ac:dyDescent="0.25">
      <c r="K614" s="19"/>
    </row>
    <row r="615" spans="11:11" ht="15.75" x14ac:dyDescent="0.25">
      <c r="K615" s="19"/>
    </row>
    <row r="616" spans="11:11" ht="15.75" x14ac:dyDescent="0.25">
      <c r="K616" s="19"/>
    </row>
    <row r="617" spans="11:11" ht="15.75" x14ac:dyDescent="0.25">
      <c r="K617" s="19"/>
    </row>
    <row r="618" spans="11:11" ht="15.75" x14ac:dyDescent="0.25">
      <c r="K618" s="19"/>
    </row>
    <row r="619" spans="11:11" ht="15.75" x14ac:dyDescent="0.25">
      <c r="K619" s="19"/>
    </row>
    <row r="620" spans="11:11" ht="15.75" x14ac:dyDescent="0.25">
      <c r="K620" s="19"/>
    </row>
    <row r="621" spans="11:11" ht="15.75" x14ac:dyDescent="0.25">
      <c r="K621" s="19"/>
    </row>
    <row r="622" spans="11:11" ht="15.75" x14ac:dyDescent="0.25">
      <c r="K622" s="19"/>
    </row>
    <row r="623" spans="11:11" ht="15.75" x14ac:dyDescent="0.25">
      <c r="K623" s="19"/>
    </row>
    <row r="624" spans="11:11" ht="15.75" x14ac:dyDescent="0.25">
      <c r="K624" s="19"/>
    </row>
    <row r="625" spans="11:11" ht="15.75" x14ac:dyDescent="0.25">
      <c r="K625" s="19"/>
    </row>
    <row r="626" spans="11:11" ht="15.75" x14ac:dyDescent="0.25">
      <c r="K626" s="19"/>
    </row>
    <row r="627" spans="11:11" ht="15.75" x14ac:dyDescent="0.25">
      <c r="K627" s="19"/>
    </row>
    <row r="628" spans="11:11" ht="15.75" x14ac:dyDescent="0.25">
      <c r="K628" s="19"/>
    </row>
    <row r="629" spans="11:11" ht="15.75" x14ac:dyDescent="0.25">
      <c r="K629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449 A298:A300 K298:R300 K299:K325 A301:B301 L301:R325 A302:A412 I308:I317 J313:J314 I315:J328 I325:I332 K326:R375 J329:J333 I331:J332 I334:J360 I357:I368 J361:J368 I369:J375 K373:K378 I376:R376 I377:J377 L377:R377 I378:R385 J386:R386 I386:I392 J387:K391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2 K441:K447 I442:J443 H442:H451 L443:R443 I444:R444 I445:J446 L445:R446 I447:R451 A448:G451 B452:G452 I452 K452:K541 L387:R438">
    <cfRule type="expression" dxfId="18" priority="9">
      <formula>CELL("row")=ROW()</formula>
    </cfRule>
  </conditionalFormatting>
  <conditionalFormatting sqref="B257:G290 B291:B300 C291:G301">
    <cfRule type="expression" dxfId="17" priority="7">
      <formula>CELL("row")=ROW()</formula>
    </cfRule>
  </conditionalFormatting>
  <conditionalFormatting sqref="F398">
    <cfRule type="expression" dxfId="16" priority="2">
      <formula>CELL("row")=ROW()</formula>
    </cfRule>
  </conditionalFormatting>
  <conditionalFormatting sqref="F420">
    <cfRule type="expression" dxfId="15" priority="1">
      <formula>CELL("row")=ROW()</formula>
    </cfRule>
  </conditionalFormatting>
  <conditionalFormatting sqref="F326:G326">
    <cfRule type="expression" dxfId="14" priority="4">
      <formula>CELL("row")=ROW()</formula>
    </cfRule>
  </conditionalFormatting>
  <conditionalFormatting sqref="G266">
    <cfRule type="expression" dxfId="13" priority="6">
      <formula>CELL("row")=ROW()</formula>
    </cfRule>
  </conditionalFormatting>
  <conditionalFormatting sqref="K453:O463 L452:O452">
    <cfRule type="expression" dxfId="12" priority="18">
      <formula>ROW(M93)=HighlightRow</formula>
    </cfRule>
  </conditionalFormatting>
  <conditionalFormatting sqref="P452:Q463">
    <cfRule type="expression" dxfId="11" priority="22">
      <formula>ROW(S93)=HighlightRow</formula>
    </cfRule>
  </conditionalFormatting>
  <conditionalFormatting sqref="S105:XFD105">
    <cfRule type="expression" dxfId="10" priority="23">
      <formula>ROW(T94)=HighlightRow</formula>
    </cfRule>
  </conditionalFormatting>
  <conditionalFormatting sqref="S106:XFD114">
    <cfRule type="expression" dxfId="9" priority="20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O28" zoomScaleNormal="100" workbookViewId="0">
      <selection activeCell="S40" sqref="S4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8227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8652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7"/>
  <sheetViews>
    <sheetView topLeftCell="A231" zoomScaleNormal="100" workbookViewId="0">
      <selection activeCell="B252" sqref="B252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6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0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0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0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0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8249</v>
      </c>
    </row>
    <row r="46" spans="1:14" ht="15.75" x14ac:dyDescent="0.25">
      <c r="A46" s="19">
        <f t="shared" si="0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0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130" si="1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1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1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1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1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1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1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1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1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94" si="2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2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2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2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7710</v>
      </c>
      <c r="C157" s="19">
        <v>9622020576</v>
      </c>
      <c r="D157" s="19" t="s">
        <v>8146</v>
      </c>
      <c r="E157" s="19" t="s">
        <v>8410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2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2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2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2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8245</v>
      </c>
      <c r="C174" s="19">
        <v>9797723564</v>
      </c>
      <c r="D174" s="19" t="s">
        <v>8246</v>
      </c>
      <c r="E174" s="19" t="s">
        <v>8247</v>
      </c>
      <c r="F174" s="21">
        <v>46034</v>
      </c>
      <c r="G174" s="21" t="s">
        <v>8248</v>
      </c>
      <c r="H174" s="19" t="s">
        <v>6665</v>
      </c>
    </row>
    <row r="175" spans="1:8" ht="15.75" x14ac:dyDescent="0.25">
      <c r="A175" s="19">
        <f t="shared" si="2"/>
        <v>173</v>
      </c>
      <c r="B175" s="19"/>
      <c r="C175" s="19"/>
      <c r="D175" s="19" t="s">
        <v>8254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2"/>
        <v>174</v>
      </c>
      <c r="B176" s="19"/>
      <c r="C176" s="19"/>
      <c r="D176" s="19" t="s">
        <v>8255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2"/>
        <v>175</v>
      </c>
      <c r="B177" s="19" t="s">
        <v>7841</v>
      </c>
      <c r="C177" s="19">
        <v>7006176206</v>
      </c>
      <c r="D177" s="19" t="s">
        <v>8256</v>
      </c>
      <c r="E177" s="19" t="s">
        <v>7859</v>
      </c>
      <c r="F177" s="21">
        <v>46058</v>
      </c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8558</v>
      </c>
      <c r="C178" s="19">
        <v>7006175754</v>
      </c>
      <c r="D178" s="19" t="s">
        <v>8257</v>
      </c>
      <c r="E178" s="19" t="s">
        <v>8474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8361</v>
      </c>
      <c r="C179" s="19">
        <v>9797013003</v>
      </c>
      <c r="D179" s="19" t="s">
        <v>8258</v>
      </c>
      <c r="E179" s="19" t="s">
        <v>8362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2"/>
        <v>178</v>
      </c>
      <c r="B180" s="19" t="s">
        <v>8363</v>
      </c>
      <c r="C180" s="19">
        <v>7006747731</v>
      </c>
      <c r="D180" s="19" t="s">
        <v>8259</v>
      </c>
      <c r="E180" s="19" t="s">
        <v>8364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7958</v>
      </c>
      <c r="C181" s="19">
        <v>9682505719</v>
      </c>
      <c r="D181" s="19" t="s">
        <v>8260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8250</v>
      </c>
      <c r="C182" s="19">
        <v>9596935377</v>
      </c>
      <c r="D182" s="19" t="s">
        <v>8251</v>
      </c>
      <c r="E182" s="19" t="s">
        <v>8252</v>
      </c>
      <c r="F182" s="21">
        <v>46035</v>
      </c>
      <c r="G182" s="21" t="s">
        <v>8253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6433</v>
      </c>
      <c r="C183" s="19">
        <v>7298545112</v>
      </c>
      <c r="D183" s="19" t="s">
        <v>8262</v>
      </c>
      <c r="E183" s="19" t="s">
        <v>8080</v>
      </c>
      <c r="F183" s="21">
        <v>46036</v>
      </c>
      <c r="G183" s="21" t="s">
        <v>341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8282</v>
      </c>
      <c r="C184" s="19">
        <v>9622544857</v>
      </c>
      <c r="D184" s="19" t="s">
        <v>8283</v>
      </c>
      <c r="E184" s="19" t="s">
        <v>8278</v>
      </c>
      <c r="F184" s="21">
        <v>46038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3244</v>
      </c>
      <c r="C185" s="19">
        <v>6006475366</v>
      </c>
      <c r="D185" s="19" t="s">
        <v>8293</v>
      </c>
      <c r="E185" s="19" t="s">
        <v>8292</v>
      </c>
      <c r="F185" s="21">
        <v>46041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8306</v>
      </c>
      <c r="C186" s="19">
        <v>9797811436</v>
      </c>
      <c r="D186" s="19" t="s">
        <v>8305</v>
      </c>
      <c r="E186" s="19" t="s">
        <v>8294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8302</v>
      </c>
      <c r="C187" s="19">
        <v>9797865646</v>
      </c>
      <c r="D187" s="19" t="s">
        <v>8324</v>
      </c>
      <c r="E187" s="19" t="s">
        <v>8304</v>
      </c>
      <c r="F187" s="21">
        <v>46042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8280</v>
      </c>
      <c r="C188" s="19">
        <v>7022282286</v>
      </c>
      <c r="D188" s="19" t="s">
        <v>8325</v>
      </c>
      <c r="E188" s="19" t="s">
        <v>8307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410</v>
      </c>
      <c r="C189" s="19">
        <v>9906774785</v>
      </c>
      <c r="D189" s="19" t="s">
        <v>8356</v>
      </c>
      <c r="E189" s="19" t="s">
        <v>8303</v>
      </c>
      <c r="F189" s="21">
        <v>46043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3155</v>
      </c>
      <c r="C190" s="19">
        <v>9906655656</v>
      </c>
      <c r="D190" s="19" t="s">
        <v>8358</v>
      </c>
      <c r="E190" s="19" t="s">
        <v>8320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8346</v>
      </c>
      <c r="C191" s="19">
        <v>8899953394</v>
      </c>
      <c r="D191" s="19" t="s">
        <v>8357</v>
      </c>
      <c r="E191" s="19" t="s">
        <v>8348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8329</v>
      </c>
      <c r="C192" s="19">
        <v>7006287562</v>
      </c>
      <c r="D192" s="19" t="s">
        <v>8355</v>
      </c>
      <c r="E192" s="19" t="s">
        <v>8349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 t="s">
        <v>8699</v>
      </c>
      <c r="C193" s="19">
        <v>9622700982</v>
      </c>
      <c r="D193" s="19" t="s">
        <v>8359</v>
      </c>
      <c r="E193" s="19" t="s">
        <v>8700</v>
      </c>
      <c r="F193" s="21">
        <v>46043</v>
      </c>
      <c r="G193" s="21" t="s">
        <v>342</v>
      </c>
      <c r="H193" s="19" t="s">
        <v>8167</v>
      </c>
    </row>
    <row r="194" spans="1:8" ht="15.75" x14ac:dyDescent="0.25">
      <c r="A194" s="19">
        <f t="shared" si="2"/>
        <v>192</v>
      </c>
      <c r="B194" s="19"/>
      <c r="C194" s="19"/>
      <c r="D194" s="19" t="s">
        <v>8360</v>
      </c>
      <c r="E194" s="19"/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ref="A195:A258" si="3">ROW()-2</f>
        <v>193</v>
      </c>
      <c r="B195" s="19" t="s">
        <v>8368</v>
      </c>
      <c r="C195" s="19">
        <v>7889670084</v>
      </c>
      <c r="D195" s="19" t="s">
        <v>8377</v>
      </c>
      <c r="E195" s="19" t="s">
        <v>8369</v>
      </c>
      <c r="F195" s="21">
        <v>46044</v>
      </c>
      <c r="G195" s="21" t="s">
        <v>341</v>
      </c>
      <c r="H195" s="19" t="s">
        <v>6665</v>
      </c>
    </row>
    <row r="196" spans="1:8" ht="15.75" x14ac:dyDescent="0.25">
      <c r="A196" s="19">
        <f t="shared" si="3"/>
        <v>194</v>
      </c>
      <c r="B196" s="19" t="s">
        <v>8380</v>
      </c>
      <c r="C196" s="19">
        <v>7889538703</v>
      </c>
      <c r="D196" s="19" t="s">
        <v>8383</v>
      </c>
      <c r="E196" s="19" t="s">
        <v>8381</v>
      </c>
      <c r="F196" s="21">
        <v>46049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8176</v>
      </c>
      <c r="C197" s="19">
        <v>7006154741</v>
      </c>
      <c r="D197" s="19" t="s">
        <v>8408</v>
      </c>
      <c r="E197" s="19" t="s">
        <v>8397</v>
      </c>
      <c r="F197" s="21">
        <v>46050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8390</v>
      </c>
      <c r="C198" s="19">
        <v>7889844675</v>
      </c>
      <c r="D198" s="19" t="s">
        <v>8409</v>
      </c>
      <c r="E198" s="19" t="s">
        <v>8396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3561</v>
      </c>
      <c r="C199" s="19"/>
      <c r="D199" s="19" t="s">
        <v>8459</v>
      </c>
      <c r="E199" s="19" t="s">
        <v>8416</v>
      </c>
      <c r="F199" s="21">
        <v>46051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8414</v>
      </c>
      <c r="C200" s="19">
        <v>9596194280</v>
      </c>
      <c r="D200" s="19" t="s">
        <v>8460</v>
      </c>
      <c r="E200" s="19" t="s">
        <v>8434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8446</v>
      </c>
      <c r="C201" s="19">
        <v>9055007706</v>
      </c>
      <c r="D201" s="19" t="s">
        <v>8461</v>
      </c>
      <c r="E201" s="19" t="s">
        <v>8449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4781</v>
      </c>
      <c r="C202" s="19">
        <v>7006788825</v>
      </c>
      <c r="D202" s="19" t="s">
        <v>8464</v>
      </c>
      <c r="E202" s="19" t="s">
        <v>8448</v>
      </c>
      <c r="F202" s="21">
        <v>46052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8475</v>
      </c>
      <c r="C203" s="19">
        <v>9149943016</v>
      </c>
      <c r="D203" s="19" t="s">
        <v>8476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8472</v>
      </c>
      <c r="C204" s="19">
        <v>9541545355</v>
      </c>
      <c r="D204" s="19" t="s">
        <v>8499</v>
      </c>
      <c r="E204" s="19" t="s">
        <v>8473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8453</v>
      </c>
      <c r="C205" s="19">
        <v>9622217999</v>
      </c>
      <c r="D205" s="19" t="s">
        <v>8498</v>
      </c>
      <c r="E205" s="19" t="s">
        <v>8462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8457</v>
      </c>
      <c r="C206" s="19">
        <v>7006896658</v>
      </c>
      <c r="D206" s="19" t="s">
        <v>8520</v>
      </c>
      <c r="E206" s="19" t="s">
        <v>8463</v>
      </c>
      <c r="F206" s="21">
        <v>46053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3610</v>
      </c>
      <c r="C207" s="19">
        <v>9596498016</v>
      </c>
      <c r="D207" s="19" t="s">
        <v>8534</v>
      </c>
      <c r="E207" s="19" t="s">
        <v>8488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8509</v>
      </c>
      <c r="C208" s="19">
        <v>9541399468</v>
      </c>
      <c r="D208" s="19" t="s">
        <v>8533</v>
      </c>
      <c r="E208" s="19" t="s">
        <v>8518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4947</v>
      </c>
      <c r="C209" s="19">
        <v>6006480663</v>
      </c>
      <c r="D209" s="19" t="s">
        <v>8532</v>
      </c>
      <c r="E209" s="19" t="s">
        <v>8519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8386</v>
      </c>
      <c r="C210" s="19">
        <v>6006516082</v>
      </c>
      <c r="D210" s="19" t="s">
        <v>8556</v>
      </c>
      <c r="E210" s="19" t="s">
        <v>8395</v>
      </c>
      <c r="F210" s="21">
        <v>46055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1959</v>
      </c>
      <c r="C211" s="19">
        <v>9906410003</v>
      </c>
      <c r="D211" s="19" t="s">
        <v>8557</v>
      </c>
      <c r="E211" s="19" t="s">
        <v>8512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8543</v>
      </c>
      <c r="C212" s="19">
        <v>7006565735</v>
      </c>
      <c r="D212" s="19" t="s">
        <v>8566</v>
      </c>
      <c r="E212" s="19" t="s">
        <v>8544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8559</v>
      </c>
      <c r="C213" s="19">
        <v>7006407965</v>
      </c>
      <c r="D213" s="19" t="s">
        <v>8560</v>
      </c>
      <c r="E213" s="19" t="s">
        <v>8489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8549</v>
      </c>
      <c r="C214" s="19">
        <v>8491846904</v>
      </c>
      <c r="D214" s="19" t="s">
        <v>8561</v>
      </c>
      <c r="E214" s="19" t="s">
        <v>8554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8552</v>
      </c>
      <c r="C215" s="19">
        <v>7006454352</v>
      </c>
      <c r="D215" s="19" t="s">
        <v>8636</v>
      </c>
      <c r="E215" s="19" t="s">
        <v>8555</v>
      </c>
      <c r="F215" s="21">
        <v>46056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7980</v>
      </c>
      <c r="C216" s="19">
        <v>9149592772</v>
      </c>
      <c r="D216" s="19" t="s">
        <v>8565</v>
      </c>
      <c r="E216" s="19" t="s">
        <v>7982</v>
      </c>
      <c r="F216" s="21">
        <v>46055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8570</v>
      </c>
      <c r="C217" s="19">
        <v>7006303640</v>
      </c>
      <c r="D217" s="19" t="s">
        <v>8576</v>
      </c>
      <c r="E217" s="19" t="s">
        <v>8571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1535</v>
      </c>
      <c r="C218" s="19">
        <v>7006437389</v>
      </c>
      <c r="D218" s="19" t="s">
        <v>8574</v>
      </c>
      <c r="E218" s="19" t="s">
        <v>8575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8506</v>
      </c>
      <c r="C219" s="19">
        <v>6005635173</v>
      </c>
      <c r="D219" s="19" t="s">
        <v>8573</v>
      </c>
      <c r="E219" s="19" t="s">
        <v>8511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8580</v>
      </c>
      <c r="C220" s="19">
        <v>9596163347</v>
      </c>
      <c r="D220" s="19" t="s">
        <v>8615</v>
      </c>
      <c r="E220" s="19" t="s">
        <v>8591</v>
      </c>
      <c r="F220" s="21">
        <v>46056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8594</v>
      </c>
      <c r="C221" s="19">
        <v>9596131756</v>
      </c>
      <c r="D221" s="19" t="s">
        <v>8634</v>
      </c>
      <c r="E221" s="19" t="s">
        <v>8607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8587</v>
      </c>
      <c r="C222" s="19">
        <v>7006430337</v>
      </c>
      <c r="D222" s="19" t="s">
        <v>8635</v>
      </c>
      <c r="E222" s="19" t="s">
        <v>8588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8637</v>
      </c>
      <c r="C223" s="19">
        <v>7006035930</v>
      </c>
      <c r="D223" s="19" t="s">
        <v>8638</v>
      </c>
      <c r="E223" s="19" t="s">
        <v>8617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8632</v>
      </c>
      <c r="C224" s="19">
        <v>9149805099</v>
      </c>
      <c r="D224" s="19" t="s">
        <v>8633</v>
      </c>
      <c r="E224" s="19" t="s">
        <v>8590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8600</v>
      </c>
      <c r="C225" s="19">
        <v>9906560855</v>
      </c>
      <c r="D225" s="19" t="s">
        <v>8631</v>
      </c>
      <c r="E225" s="19" t="s">
        <v>8601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8621</v>
      </c>
      <c r="C226" s="19">
        <v>9419066721</v>
      </c>
      <c r="D226" s="19" t="s">
        <v>8647</v>
      </c>
      <c r="E226" s="19" t="s">
        <v>8629</v>
      </c>
      <c r="F226" s="21">
        <v>46057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8621</v>
      </c>
      <c r="C227" s="19">
        <v>9419066721</v>
      </c>
      <c r="D227" s="19" t="s">
        <v>8647</v>
      </c>
      <c r="E227" s="19" t="s">
        <v>8629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8627</v>
      </c>
      <c r="C228" s="19">
        <v>9682506898</v>
      </c>
      <c r="D228" s="19" t="s">
        <v>8648</v>
      </c>
      <c r="E228" s="19" t="s">
        <v>8630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8645</v>
      </c>
      <c r="C229" s="19">
        <v>7889568261</v>
      </c>
      <c r="D229" s="19" t="s">
        <v>8666</v>
      </c>
      <c r="E229" s="19" t="s">
        <v>8649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8176</v>
      </c>
      <c r="C230" s="19">
        <v>8803618337</v>
      </c>
      <c r="D230" s="19" t="s">
        <v>8665</v>
      </c>
      <c r="E230" s="19" t="s">
        <v>8656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8604</v>
      </c>
      <c r="C231" s="19">
        <v>7051726656</v>
      </c>
      <c r="D231" s="19" t="s">
        <v>8664</v>
      </c>
      <c r="E231" s="19" t="s">
        <v>8608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217</v>
      </c>
      <c r="C232" s="19">
        <v>7006540198</v>
      </c>
      <c r="D232" s="19" t="s">
        <v>8662</v>
      </c>
      <c r="E232" s="19" t="s">
        <v>235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7949</v>
      </c>
      <c r="C233" s="19">
        <v>9419004025</v>
      </c>
      <c r="D233" s="19" t="s">
        <v>8148</v>
      </c>
      <c r="E233" s="19" t="s">
        <v>8015</v>
      </c>
      <c r="F233" s="21">
        <v>46026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8006</v>
      </c>
      <c r="C234" s="19">
        <v>7889441591</v>
      </c>
      <c r="D234" s="19" t="s">
        <v>8142</v>
      </c>
      <c r="E234" s="19" t="s">
        <v>8007</v>
      </c>
      <c r="F234" s="21">
        <v>46029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2841</v>
      </c>
      <c r="C235" s="19">
        <v>7006960324</v>
      </c>
      <c r="D235" s="19" t="s">
        <v>8139</v>
      </c>
      <c r="E235" s="19" t="s">
        <v>7866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7865</v>
      </c>
      <c r="C236" s="19">
        <v>9906759399</v>
      </c>
      <c r="D236" s="19" t="s">
        <v>8138</v>
      </c>
      <c r="E236" s="19" t="s">
        <v>7867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7973</v>
      </c>
      <c r="C237" s="19">
        <v>9149592772</v>
      </c>
      <c r="D237" s="19" t="s">
        <v>8137</v>
      </c>
      <c r="E237" s="19" t="s">
        <v>7975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7989</v>
      </c>
      <c r="C238" s="19">
        <v>9596382727</v>
      </c>
      <c r="D238" s="19" t="s">
        <v>8136</v>
      </c>
      <c r="E238" s="19" t="s">
        <v>7991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4284</v>
      </c>
      <c r="C239" s="19">
        <v>8899926488</v>
      </c>
      <c r="D239" s="19" t="s">
        <v>8135</v>
      </c>
      <c r="E239" s="19" t="s">
        <v>7986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7797</v>
      </c>
      <c r="C240" s="19">
        <v>8899294356</v>
      </c>
      <c r="D240" s="19" t="s">
        <v>8663</v>
      </c>
      <c r="E240" s="19" t="s">
        <v>7809</v>
      </c>
      <c r="F240" s="21">
        <v>46057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1635</v>
      </c>
      <c r="C241" s="19">
        <v>7006730627</v>
      </c>
      <c r="D241" s="19" t="s">
        <v>8668</v>
      </c>
      <c r="E241" s="19" t="s">
        <v>8651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1959</v>
      </c>
      <c r="C242" s="19">
        <v>7780875890</v>
      </c>
      <c r="D242" s="19" t="s">
        <v>8670</v>
      </c>
      <c r="E242" s="19" t="s">
        <v>8616</v>
      </c>
      <c r="F242" s="21">
        <v>46057</v>
      </c>
      <c r="G242" s="21" t="s">
        <v>341</v>
      </c>
      <c r="H242" s="19" t="s">
        <v>8675</v>
      </c>
    </row>
    <row r="243" spans="1:8" ht="15.75" x14ac:dyDescent="0.25">
      <c r="A243" s="19">
        <f t="shared" si="3"/>
        <v>241</v>
      </c>
      <c r="B243" s="19" t="s">
        <v>8677</v>
      </c>
      <c r="C243" s="19">
        <v>8899903781</v>
      </c>
      <c r="D243" s="19" t="s">
        <v>8676</v>
      </c>
      <c r="E243" s="19" t="s">
        <v>8370</v>
      </c>
      <c r="F243" s="21">
        <v>46058</v>
      </c>
      <c r="G243" s="21" t="s">
        <v>341</v>
      </c>
      <c r="H243" s="19" t="s">
        <v>6665</v>
      </c>
    </row>
    <row r="244" spans="1:8" ht="15.75" x14ac:dyDescent="0.25">
      <c r="A244" s="19">
        <f t="shared" si="3"/>
        <v>242</v>
      </c>
      <c r="B244" s="19" t="s">
        <v>8492</v>
      </c>
      <c r="C244" s="19">
        <v>9541509928</v>
      </c>
      <c r="D244" s="19" t="s">
        <v>8684</v>
      </c>
      <c r="E244" s="19" t="s">
        <v>8514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 t="s">
        <v>5322</v>
      </c>
      <c r="C245" s="19">
        <v>9682353782</v>
      </c>
      <c r="D245" s="19" t="s">
        <v>8695</v>
      </c>
      <c r="E245" s="19" t="s">
        <v>5323</v>
      </c>
      <c r="F245" s="21">
        <v>46059</v>
      </c>
      <c r="G245" s="21" t="s">
        <v>341</v>
      </c>
      <c r="H245" s="19" t="s">
        <v>6665</v>
      </c>
    </row>
    <row r="246" spans="1:8" ht="15.75" x14ac:dyDescent="0.25">
      <c r="A246" s="19">
        <f t="shared" si="3"/>
        <v>244</v>
      </c>
      <c r="B246" s="19"/>
      <c r="C246" s="19"/>
      <c r="D246" s="19" t="s">
        <v>8697</v>
      </c>
      <c r="E246" s="19"/>
      <c r="F246" s="21">
        <v>46059</v>
      </c>
      <c r="G246" s="21" t="s">
        <v>342</v>
      </c>
      <c r="H246" s="19"/>
    </row>
    <row r="247" spans="1:8" ht="15.75" x14ac:dyDescent="0.25">
      <c r="A247" s="19">
        <f t="shared" si="3"/>
        <v>245</v>
      </c>
      <c r="B247" s="19"/>
      <c r="C247" s="19"/>
      <c r="D247" s="19" t="s">
        <v>8698</v>
      </c>
      <c r="E247" s="19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 t="s">
        <v>8704</v>
      </c>
      <c r="C248" s="19">
        <v>7006790581</v>
      </c>
      <c r="D248" s="19" t="s">
        <v>8708</v>
      </c>
      <c r="E248" s="19" t="s">
        <v>8706</v>
      </c>
      <c r="F248" s="21">
        <v>46059</v>
      </c>
      <c r="G248" s="21" t="s">
        <v>341</v>
      </c>
      <c r="H248" s="19" t="s">
        <v>6665</v>
      </c>
    </row>
    <row r="249" spans="1:8" ht="15.75" x14ac:dyDescent="0.25">
      <c r="A249" s="19">
        <f t="shared" si="3"/>
        <v>247</v>
      </c>
      <c r="B249" s="47" t="s">
        <v>8423</v>
      </c>
      <c r="C249" s="47">
        <v>8491887577</v>
      </c>
      <c r="D249" s="19" t="s">
        <v>8709</v>
      </c>
      <c r="E249" s="47" t="s">
        <v>8432</v>
      </c>
      <c r="F249" s="21">
        <v>46060</v>
      </c>
      <c r="G249" s="21" t="s">
        <v>341</v>
      </c>
      <c r="H249" s="19" t="s">
        <v>8167</v>
      </c>
    </row>
    <row r="250" spans="1:8" ht="15.75" x14ac:dyDescent="0.25">
      <c r="A250" s="19">
        <f t="shared" si="3"/>
        <v>248</v>
      </c>
      <c r="B250" s="47" t="s">
        <v>8428</v>
      </c>
      <c r="C250" s="47">
        <v>7006260958</v>
      </c>
      <c r="D250" s="19" t="s">
        <v>8710</v>
      </c>
      <c r="E250" s="47" t="s">
        <v>8433</v>
      </c>
      <c r="F250" s="21">
        <v>46060</v>
      </c>
      <c r="G250" s="21" t="s">
        <v>341</v>
      </c>
      <c r="H250" s="19" t="s">
        <v>8167</v>
      </c>
    </row>
    <row r="251" spans="1:8" ht="15.75" x14ac:dyDescent="0.25">
      <c r="A251" s="19">
        <f t="shared" si="3"/>
        <v>249</v>
      </c>
      <c r="B251" s="19"/>
      <c r="C251" s="19"/>
      <c r="D251" s="19"/>
      <c r="E251" s="19"/>
      <c r="F251" s="21"/>
      <c r="G251" s="21"/>
      <c r="H251" s="19"/>
    </row>
    <row r="252" spans="1:8" ht="15.75" x14ac:dyDescent="0.25">
      <c r="A252" s="19">
        <f t="shared" si="3"/>
        <v>250</v>
      </c>
      <c r="B252" s="19"/>
      <c r="C252" s="19"/>
      <c r="D252" s="19"/>
      <c r="E252" s="19"/>
      <c r="F252" s="21"/>
      <c r="G252" s="21"/>
      <c r="H252" s="19"/>
    </row>
    <row r="253" spans="1:8" ht="15.75" x14ac:dyDescent="0.25">
      <c r="A253" s="19">
        <f t="shared" si="3"/>
        <v>251</v>
      </c>
      <c r="B253" s="19"/>
      <c r="C253" s="19"/>
      <c r="D253" s="19"/>
      <c r="E253" s="19"/>
      <c r="F253" s="21"/>
      <c r="G253" s="21"/>
      <c r="H253" s="19"/>
    </row>
    <row r="254" spans="1:8" ht="15.75" x14ac:dyDescent="0.25">
      <c r="A254" s="19">
        <f t="shared" si="3"/>
        <v>252</v>
      </c>
      <c r="B254" s="19"/>
      <c r="C254" s="19"/>
      <c r="D254" s="19"/>
      <c r="E254" s="19"/>
      <c r="F254" s="21"/>
      <c r="G254" s="21"/>
      <c r="H254" s="19"/>
    </row>
    <row r="255" spans="1:8" ht="15.75" x14ac:dyDescent="0.25">
      <c r="A255" s="19">
        <f t="shared" si="3"/>
        <v>253</v>
      </c>
      <c r="B255" s="19"/>
      <c r="C255" s="19"/>
      <c r="D255" s="19"/>
      <c r="E255" s="19"/>
      <c r="F255" s="21"/>
      <c r="G255" s="21"/>
      <c r="H255" s="19"/>
    </row>
    <row r="256" spans="1:8" ht="15.75" x14ac:dyDescent="0.25">
      <c r="A256" s="19">
        <f t="shared" si="3"/>
        <v>254</v>
      </c>
      <c r="B256" s="19"/>
      <c r="C256" s="19"/>
      <c r="D256" s="19"/>
      <c r="E256" s="19"/>
      <c r="F256" s="21"/>
      <c r="G256" s="21"/>
      <c r="H256" s="19"/>
    </row>
    <row r="257" spans="1:8" ht="15.75" x14ac:dyDescent="0.25">
      <c r="A257" s="19">
        <f t="shared" si="3"/>
        <v>255</v>
      </c>
      <c r="B257" s="19"/>
      <c r="C257" s="19"/>
      <c r="D257" s="19"/>
      <c r="E257" s="19"/>
      <c r="F257" s="21"/>
      <c r="G257" s="21"/>
      <c r="H257" s="19"/>
    </row>
    <row r="258" spans="1:8" ht="15.75" x14ac:dyDescent="0.25">
      <c r="A258" s="19">
        <f t="shared" si="3"/>
        <v>256</v>
      </c>
      <c r="B258" s="19"/>
      <c r="C258" s="19"/>
      <c r="D258" s="19"/>
      <c r="E258" s="19"/>
      <c r="F258" s="21"/>
      <c r="G258" s="21"/>
      <c r="H258" s="19"/>
    </row>
    <row r="259" spans="1:8" ht="15.75" x14ac:dyDescent="0.25">
      <c r="A259" s="19">
        <f t="shared" ref="A259:A304" si="4">ROW()-2</f>
        <v>257</v>
      </c>
      <c r="B259" s="19"/>
      <c r="C259" s="19"/>
      <c r="D259" s="19"/>
      <c r="E259" s="19"/>
      <c r="F259" s="21"/>
      <c r="G259" s="21"/>
      <c r="H259" s="19"/>
    </row>
    <row r="260" spans="1:8" ht="15.75" x14ac:dyDescent="0.25">
      <c r="A260" s="19">
        <f t="shared" si="4"/>
        <v>258</v>
      </c>
      <c r="B260" s="19"/>
      <c r="C260" s="19"/>
      <c r="D260" s="19"/>
      <c r="E260" s="19"/>
      <c r="F260" s="21"/>
      <c r="G260" s="21"/>
      <c r="H260" s="19"/>
    </row>
    <row r="261" spans="1:8" ht="15.75" x14ac:dyDescent="0.25">
      <c r="A261" s="19">
        <f t="shared" si="4"/>
        <v>259</v>
      </c>
      <c r="B261" s="19"/>
      <c r="C261" s="19"/>
      <c r="D261" s="19"/>
      <c r="E261" s="19"/>
      <c r="F261" s="21"/>
      <c r="G261" s="21"/>
      <c r="H261" s="19"/>
    </row>
    <row r="262" spans="1:8" ht="15.75" x14ac:dyDescent="0.25">
      <c r="A262" s="19">
        <f t="shared" si="4"/>
        <v>260</v>
      </c>
      <c r="B262" s="19"/>
      <c r="C262" s="19"/>
      <c r="D262" s="19"/>
      <c r="E262" s="19"/>
      <c r="F262" s="21"/>
      <c r="G262" s="21"/>
      <c r="H262" s="19"/>
    </row>
    <row r="263" spans="1:8" ht="15.75" x14ac:dyDescent="0.25">
      <c r="A263" s="19">
        <f t="shared" si="4"/>
        <v>261</v>
      </c>
      <c r="B263" s="19"/>
      <c r="C263" s="19"/>
      <c r="D263" s="19"/>
      <c r="E263" s="19"/>
      <c r="F263" s="21"/>
      <c r="G263" s="21"/>
      <c r="H263" s="19"/>
    </row>
    <row r="264" spans="1:8" ht="15.75" x14ac:dyDescent="0.25">
      <c r="A264" s="19">
        <f t="shared" si="4"/>
        <v>262</v>
      </c>
      <c r="B264" s="19"/>
      <c r="C264" s="19"/>
      <c r="D264" s="19"/>
      <c r="E264" s="19"/>
      <c r="F264" s="21"/>
      <c r="G264" s="21"/>
      <c r="H264" s="19"/>
    </row>
    <row r="265" spans="1:8" ht="15.75" x14ac:dyDescent="0.25">
      <c r="A265" s="19">
        <f t="shared" si="4"/>
        <v>263</v>
      </c>
      <c r="B265" s="19"/>
      <c r="C265" s="19"/>
      <c r="D265" s="19"/>
      <c r="E265" s="19"/>
      <c r="F265" s="21"/>
      <c r="G265" s="21"/>
      <c r="H265" s="19"/>
    </row>
    <row r="266" spans="1:8" ht="15.75" x14ac:dyDescent="0.25">
      <c r="A266" s="19">
        <f t="shared" si="4"/>
        <v>264</v>
      </c>
      <c r="B266" s="19"/>
      <c r="C266" s="19"/>
      <c r="D266" s="19"/>
      <c r="E266" s="19"/>
      <c r="F266" s="21"/>
      <c r="G266" s="21"/>
      <c r="H266" s="19"/>
    </row>
    <row r="267" spans="1:8" ht="15.75" x14ac:dyDescent="0.25">
      <c r="A267" s="19">
        <f t="shared" si="4"/>
        <v>265</v>
      </c>
      <c r="B267" s="19"/>
      <c r="C267" s="19"/>
      <c r="D267" s="19"/>
      <c r="E267" s="19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2:5" ht="15.75" x14ac:dyDescent="0.25">
      <c r="B305" s="19"/>
      <c r="C305" s="19"/>
      <c r="D305" s="19"/>
      <c r="E305" s="19"/>
    </row>
    <row r="306" spans="2:5" ht="15.75" x14ac:dyDescent="0.25">
      <c r="B306" s="19"/>
      <c r="C306" s="19"/>
      <c r="D306" s="19"/>
      <c r="E306" s="19"/>
    </row>
    <row r="307" spans="2:5" ht="15.75" x14ac:dyDescent="0.25">
      <c r="B307" s="19"/>
      <c r="C307" s="19"/>
      <c r="D307" s="19"/>
      <c r="E307" s="19"/>
    </row>
  </sheetData>
  <mergeCells count="1">
    <mergeCell ref="A1:H1"/>
  </mergeCells>
  <phoneticPr fontId="31" type="noConversion"/>
  <conditionalFormatting sqref="B103 E103 B121:E154 B169:E170 E170:E184 D171:E176 B171:C178 D177 D178:E178 B179:E248 D249:D250 B251:E307">
    <cfRule type="expression" dxfId="8" priority="30">
      <formula>CELL("row")=ROW()</formula>
    </cfRule>
  </conditionalFormatting>
  <conditionalFormatting sqref="B191:D192 D193 B194:D210">
    <cfRule type="expression" dxfId="7" priority="9">
      <formula>CELL("row")=ROW()</formula>
    </cfRule>
  </conditionalFormatting>
  <conditionalFormatting sqref="C103">
    <cfRule type="expression" dxfId="6" priority="29">
      <formula>CELL("row")=ROW()</formula>
    </cfRule>
  </conditionalFormatting>
  <conditionalFormatting sqref="C122">
    <cfRule type="expression" dxfId="5" priority="26">
      <formula>CELL("row")=ROW()</formula>
    </cfRule>
  </conditionalFormatting>
  <conditionalFormatting sqref="C207:C208">
    <cfRule type="expression" dxfId="4" priority="7">
      <formula>CELL("row")=ROW()</formula>
    </cfRule>
  </conditionalFormatting>
  <conditionalFormatting sqref="E122">
    <cfRule type="expression" dxfId="3" priority="27">
      <formula>CELL("row")=ROW()</formula>
    </cfRule>
  </conditionalFormatting>
  <conditionalFormatting sqref="B249:B250">
    <cfRule type="expression" dxfId="2" priority="3">
      <formula>CELL("row")=ROW()</formula>
    </cfRule>
  </conditionalFormatting>
  <conditionalFormatting sqref="E249:E250">
    <cfRule type="expression" dxfId="1" priority="2">
      <formula>CELL("row")=ROW()</formula>
    </cfRule>
  </conditionalFormatting>
  <conditionalFormatting sqref="C249:C250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2026-02-09T04:46:38Z</dcterms:modified>
</cp:coreProperties>
</file>