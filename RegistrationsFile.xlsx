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98CB817-DD07-4577-82F9-FC95D7C52150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08" i="4" l="1"/>
  <c r="H709" i="4"/>
  <c r="H710" i="4"/>
  <c r="H711" i="4"/>
  <c r="H712" i="4"/>
  <c r="H713" i="4"/>
  <c r="H714" i="4"/>
  <c r="H715" i="4"/>
  <c r="H716" i="4"/>
  <c r="H717" i="4"/>
  <c r="H718" i="4"/>
  <c r="A708" i="4"/>
  <c r="A709" i="4"/>
  <c r="A710" i="4"/>
  <c r="A711" i="4"/>
  <c r="A712" i="4"/>
  <c r="A713" i="4"/>
  <c r="A714" i="4"/>
  <c r="A715" i="4"/>
  <c r="A716" i="4"/>
  <c r="A717" i="4"/>
  <c r="A718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H698" i="4"/>
  <c r="H699" i="4"/>
  <c r="H700" i="4"/>
  <c r="H701" i="4"/>
  <c r="H702" i="4"/>
  <c r="H703" i="4"/>
  <c r="H704" i="4"/>
  <c r="H705" i="4"/>
  <c r="H706" i="4"/>
  <c r="H707" i="4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H692" i="4"/>
  <c r="H693" i="4"/>
  <c r="H694" i="4"/>
  <c r="H695" i="4"/>
  <c r="H696" i="4"/>
  <c r="H697" i="4"/>
  <c r="A692" i="4"/>
  <c r="A693" i="4"/>
  <c r="A694" i="4"/>
  <c r="A695" i="4"/>
  <c r="A696" i="4"/>
  <c r="A697" i="4"/>
  <c r="A427" i="7"/>
  <c r="A428" i="7"/>
  <c r="A429" i="7"/>
  <c r="A430" i="7"/>
  <c r="A431" i="7"/>
  <c r="H687" i="4"/>
  <c r="H688" i="4"/>
  <c r="H689" i="4"/>
  <c r="H690" i="4"/>
  <c r="H691" i="4"/>
  <c r="A687" i="4"/>
  <c r="A688" i="4"/>
  <c r="A689" i="4"/>
  <c r="A690" i="4"/>
  <c r="A691" i="4"/>
  <c r="H683" i="4"/>
  <c r="H684" i="4"/>
  <c r="H685" i="4"/>
  <c r="H686" i="4"/>
  <c r="A683" i="4"/>
  <c r="A684" i="4"/>
  <c r="A685" i="4"/>
  <c r="A686" i="4"/>
  <c r="A423" i="7"/>
  <c r="A424" i="7"/>
  <c r="A425" i="7"/>
  <c r="A426" i="7"/>
  <c r="H679" i="4"/>
  <c r="H680" i="4"/>
  <c r="H681" i="4"/>
  <c r="H682" i="4"/>
  <c r="A679" i="4"/>
  <c r="A680" i="4"/>
  <c r="A681" i="4"/>
  <c r="A682" i="4"/>
  <c r="H675" i="4"/>
  <c r="H676" i="4"/>
  <c r="H678" i="4"/>
  <c r="A675" i="4"/>
  <c r="A676" i="4"/>
  <c r="A678" i="4"/>
  <c r="H671" i="4"/>
  <c r="H672" i="4"/>
  <c r="H673" i="4"/>
  <c r="H674" i="4"/>
  <c r="A671" i="4"/>
  <c r="A672" i="4"/>
  <c r="A673" i="4"/>
  <c r="A674" i="4"/>
  <c r="H667" i="4"/>
  <c r="H668" i="4"/>
  <c r="H669" i="4"/>
  <c r="H670" i="4"/>
  <c r="A667" i="4"/>
  <c r="A668" i="4"/>
  <c r="A669" i="4"/>
  <c r="A670" i="4"/>
  <c r="H495" i="4"/>
  <c r="H539" i="4"/>
  <c r="H601" i="4"/>
  <c r="H148" i="4"/>
  <c r="H631" i="4"/>
  <c r="H632" i="4"/>
  <c r="H596" i="4"/>
  <c r="H591" i="4"/>
  <c r="H602" i="4"/>
  <c r="H645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7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77" i="4"/>
  <c r="H480" i="4"/>
  <c r="H511" i="4"/>
  <c r="H604" i="4"/>
  <c r="H605" i="4"/>
  <c r="H606" i="4"/>
  <c r="H607" i="4"/>
  <c r="H188" i="4"/>
  <c r="H107" i="4"/>
  <c r="H608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3" i="4"/>
  <c r="H634" i="4"/>
  <c r="H635" i="4"/>
  <c r="H636" i="4"/>
  <c r="H638" i="4"/>
  <c r="H639" i="4"/>
  <c r="H609" i="4"/>
  <c r="H640" i="4"/>
  <c r="H641" i="4"/>
  <c r="H642" i="4"/>
  <c r="H643" i="4"/>
  <c r="H644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<sst xmlns="http://schemas.openxmlformats.org/spreadsheetml/2006/main" count="25898" uniqueCount="10348">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</sst>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718" totalsRowShown="0" headerRowDxfId="91" dataDxfId="90">
  <autoFilter ref="A1:R718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63" totalsRowShown="0" headerRowDxfId="46" dataDxfId="45">
  <autoFilter ref="A2:H463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4"/>
    <tableColumn id="11" xr3:uid="{7AA66E15-5D81-45A6-A480-BC2F7EFDEB4C}" name="Name" dataDxfId="43"/>
    <tableColumn id="10" xr3:uid="{DA1D923C-25B3-4F76-823C-435E6464FF55}" name="Contact" dataDxfId="42"/>
    <tableColumn id="2" xr3:uid="{5FEBD558-5EB7-4421-BA25-DCAC1134B168}" name="Barcode No." dataDxfId="41"/>
    <tableColumn id="12" xr3:uid="{77758C8B-F2C8-47C0-B104-570729F9693B}" name="Reg Num" dataDxfId="40"/>
    <tableColumn id="5" xr3:uid="{9AC97A3F-3009-4A59-ACCF-A178780E6F61}" name="Date" dataDxfId="39"/>
    <tableColumn id="7" xr3:uid="{82C8F4C5-8489-4228-83CC-0B9666328CDD}" name="CHANNEL" dataDxfId="38"/>
    <tableColumn id="8" xr3:uid="{DDF1FC61-A0D6-46E9-9515-6DDC5AB1E932}" name="Status" dataDxfId="3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6" dataDxfId="35">
  <autoFilter ref="A2:I9" xr:uid="{74ED0DA7-B29F-4043-B63E-2DC322D6021E}"/>
  <tableColumns count="9">
    <tableColumn id="1" xr3:uid="{245016D5-DEB3-4F3E-B449-3096C2EF947B}" name="S.No." dataDxfId="34">
      <calculatedColumnFormula>ROW()-2</calculatedColumnFormula>
    </tableColumn>
    <tableColumn id="2" xr3:uid="{77ED4F47-8FDC-4F18-AB35-3830D899313B}" name="Dated" dataDxfId="33"/>
    <tableColumn id="3" xr3:uid="{67393A8B-58A2-4A4E-AA68-362B9B4F4E28}" name="Vehicle Num." dataDxfId="32"/>
    <tableColumn id="4" xr3:uid="{2C031EFD-E44B-468B-BEF0-3C97412F5E2E}" name="Name" dataDxfId="31"/>
    <tableColumn id="5" xr3:uid="{73873638-799E-44F5-B857-93DAE5E0F2FF}" name="Payment Mode" dataDxfId="30"/>
    <tableColumn id="6" xr3:uid="{BFB6E8F7-43C7-4B39-8FF0-E41A5EA5B2D3}" name="Trans Id." dataDxfId="29"/>
    <tableColumn id="8" xr3:uid="{3B1BF0B9-13BC-4A4E-B215-A3056576D199}" name="Trans. Date" dataDxfId="28"/>
    <tableColumn id="9" xr3:uid="{F64CF3FC-8352-46AE-80D1-01DDCE0247AC}" name="Amount" dataDxfId="27"/>
    <tableColumn id="7" xr3:uid="{22AF1F96-D5EA-48BA-A958-A42C203B5287}" name="Remark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86"/>
  <sheetViews>
    <sheetView tabSelected="1" topLeftCell="A695" zoomScaleNormal="100" workbookViewId="0">
      <selection activeCell="B704" sqref="B70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 t="s">
        <v>23</v>
      </c>
      <c r="P488" s="29">
        <v>46137</v>
      </c>
      <c r="Q488" s="26" t="s">
        <v>6454</v>
      </c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 t="s">
        <v>10286</v>
      </c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 t="s">
        <v>7607</v>
      </c>
      <c r="N555" s="27">
        <v>46140</v>
      </c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 t="s">
        <v>8227</v>
      </c>
      <c r="N564" s="27">
        <v>46140</v>
      </c>
      <c r="O564" s="26" t="s">
        <v>23</v>
      </c>
      <c r="P564" s="29">
        <v>46140</v>
      </c>
      <c r="Q564" s="26" t="s">
        <v>6454</v>
      </c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39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 t="s">
        <v>7662</v>
      </c>
      <c r="N591" s="27">
        <v>46142</v>
      </c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 t="s">
        <v>7705</v>
      </c>
      <c r="N601" s="27">
        <v>46139</v>
      </c>
      <c r="O601" s="26" t="s">
        <v>23</v>
      </c>
      <c r="P601" s="29">
        <v>46139</v>
      </c>
      <c r="Q601" s="26" t="s">
        <v>6454</v>
      </c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 t="s">
        <v>7607</v>
      </c>
      <c r="N613" s="27">
        <v>46140</v>
      </c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 t="s">
        <v>23</v>
      </c>
      <c r="P615" s="29">
        <v>46137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 t="s">
        <v>23</v>
      </c>
      <c r="P619" s="29">
        <v>46137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8215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703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ref="H640:H666" si="21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 t="s">
        <v>7766</v>
      </c>
      <c r="N640" s="27">
        <v>46142</v>
      </c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21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si="21"/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/>
      <c r="N643" s="27"/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 t="s">
        <v>8302</v>
      </c>
      <c r="N644" s="27">
        <v>46140</v>
      </c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s="42" customFormat="1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TEMP</v>
      </c>
      <c r="I654" s="26" t="s">
        <v>10022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/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 t="s">
        <v>7705</v>
      </c>
      <c r="N660" s="27">
        <v>46137</v>
      </c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 t="s">
        <v>10236</v>
      </c>
      <c r="N664" s="27">
        <v>46137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ref="H667:H670" si="22"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2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2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2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ref="H671:H674" si="23">IF(LEFT(I671,4)="JK13","PULWAMA",IF(LEFT(I671,4)="JK01","SRINAGAR",IF(LEFT(I671,4)="JK04","BUDGAM",IF(LEFT(I671,4)="JK03","ANANTNAG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</f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3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3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3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 t="s">
        <v>7606</v>
      </c>
      <c r="N674" s="27">
        <v>46136</v>
      </c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ref="H675:H678" si="24">IF(LEFT(I675,4)="JK13","PULWAMA",IF(LEFT(I675,4)="JK01","SRINAGAR",IF(LEFT(I675,4)="JK04","BUDGAM",IF(LEFT(I675,4)="JK03","ANANTNAG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</f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 t="s">
        <v>8152</v>
      </c>
      <c r="N675" s="27">
        <v>46135</v>
      </c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4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 t="s">
        <v>7705</v>
      </c>
      <c r="N676" s="27">
        <v>46135</v>
      </c>
      <c r="O676" s="26" t="s">
        <v>23</v>
      </c>
      <c r="P676" s="29">
        <v>46135</v>
      </c>
      <c r="Q676" s="26" t="s">
        <v>6454</v>
      </c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 t="s">
        <v>7765</v>
      </c>
      <c r="N677" s="27">
        <v>46136</v>
      </c>
      <c r="O677" s="26"/>
      <c r="P677" s="29"/>
      <c r="Q677" s="26" t="s">
        <v>43</v>
      </c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4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ref="H679:H682" si="25">IF(LEFT(I679,4)="JK13","PULWAMA",IF(LEFT(I679,4)="JK01","SRINAGAR",IF(LEFT(I679,4)="JK04","BUDGAM",IF(LEFT(I679,4)="JK03","ANANTNAG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</f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5"/>
        <v>TEMP</v>
      </c>
      <c r="I680" s="26" t="s">
        <v>10191</v>
      </c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 t="s">
        <v>10181</v>
      </c>
      <c r="C681" s="26" t="s">
        <v>10182</v>
      </c>
      <c r="D681" s="26" t="s">
        <v>10183</v>
      </c>
      <c r="E681" s="26" t="s">
        <v>10184</v>
      </c>
      <c r="F681" s="26" t="s">
        <v>116</v>
      </c>
      <c r="G681" s="26" t="s">
        <v>197</v>
      </c>
      <c r="H681" s="26" t="str">
        <f t="shared" si="25"/>
        <v>BARAMULLA</v>
      </c>
      <c r="I681" s="26" t="s">
        <v>10189</v>
      </c>
      <c r="J681" s="27">
        <v>46135</v>
      </c>
      <c r="K681" s="26">
        <v>7006922251</v>
      </c>
      <c r="L681" s="26" t="s">
        <v>480</v>
      </c>
      <c r="M681" s="28"/>
      <c r="N681" s="27"/>
      <c r="O681" s="26" t="s">
        <v>23</v>
      </c>
      <c r="P681" s="29">
        <v>46135</v>
      </c>
      <c r="Q681" s="26" t="s">
        <v>6454</v>
      </c>
      <c r="R681" s="26"/>
    </row>
    <row r="682" spans="1:18" x14ac:dyDescent="0.25">
      <c r="A682" s="26">
        <f t="shared" si="20"/>
        <v>681</v>
      </c>
      <c r="B682" s="26" t="s">
        <v>10188</v>
      </c>
      <c r="C682" s="26" t="s">
        <v>10185</v>
      </c>
      <c r="D682" s="26" t="s">
        <v>10186</v>
      </c>
      <c r="E682" s="26" t="s">
        <v>10187</v>
      </c>
      <c r="F682" s="26" t="s">
        <v>98</v>
      </c>
      <c r="G682" s="26" t="s">
        <v>178</v>
      </c>
      <c r="H682" s="26" t="str">
        <f t="shared" si="25"/>
        <v>KUPWARA</v>
      </c>
      <c r="I682" s="26" t="s">
        <v>10190</v>
      </c>
      <c r="J682" s="27">
        <v>46135</v>
      </c>
      <c r="K682" s="26">
        <v>9622844543</v>
      </c>
      <c r="L682" s="26" t="s">
        <v>303</v>
      </c>
      <c r="M682" s="28"/>
      <c r="N682" s="27"/>
      <c r="O682" s="26" t="s">
        <v>23</v>
      </c>
      <c r="P682" s="29">
        <v>46135</v>
      </c>
      <c r="Q682" s="26" t="s">
        <v>6454</v>
      </c>
      <c r="R682" s="26"/>
    </row>
    <row r="683" spans="1:18" x14ac:dyDescent="0.25">
      <c r="A683" s="26">
        <f t="shared" si="20"/>
        <v>682</v>
      </c>
      <c r="B683" s="26" t="s">
        <v>10198</v>
      </c>
      <c r="C683" s="26" t="s">
        <v>10196</v>
      </c>
      <c r="D683" s="26" t="s">
        <v>10197</v>
      </c>
      <c r="E683" s="26" t="s">
        <v>9979</v>
      </c>
      <c r="F683" s="26" t="s">
        <v>116</v>
      </c>
      <c r="G683" s="26" t="s">
        <v>197</v>
      </c>
      <c r="H683" s="26" t="str">
        <f t="shared" ref="H683:H686" si="26">IF(LEFT(I683,4)="JK13","PULWAMA",IF(LEFT(I683,4)="JK01","SRINAGAR",IF(LEFT(I683,4)="JK04","BUDGAM",IF(LEFT(I683,4)="JK03","ANANTNAG",IF(LEFT(I683,4)="JK05","BARAMULLA",IF(LEFT(I683,4)="26BH","BHARAT",IF(LEFT(I683,4)="25BH","BHARAT",IF(LEFT(I683,4)="JK12","POONCH",IF(LEFT(I683,4)="JK16","GANDERBAL",IF(LEFT(I683,4)="JK18","KULGAM",IF(LEFT(I683,4)="JK22","SHOPIAN",IF(LEFT(I683,4)="JK02","JAMMU",IF(LEFT(I683,4)="JK09","KUPWARA",IF(LEFT(I683,4)="JK15","BANDIPORA",IF(LEFT(I683,4)="JK17","KISHTWAR",IF(LEFT(I683,4)="LA01","KARGIL",IF(LEFT(I683,1)="T","TEMP","NEW")))))))))))))))))</f>
        <v>BUDGAM</v>
      </c>
      <c r="I683" s="26" t="s">
        <v>10207</v>
      </c>
      <c r="J683" s="27">
        <v>46136</v>
      </c>
      <c r="K683" s="26">
        <v>9697385697</v>
      </c>
      <c r="L683" s="26" t="s">
        <v>104</v>
      </c>
      <c r="M683" s="28"/>
      <c r="N683" s="27"/>
      <c r="O683" s="26"/>
      <c r="P683" s="29"/>
      <c r="Q683" s="26"/>
      <c r="R683" s="26"/>
    </row>
    <row r="684" spans="1:18" x14ac:dyDescent="0.25">
      <c r="A684" s="26">
        <f t="shared" si="20"/>
        <v>683</v>
      </c>
      <c r="B684" s="26" t="s">
        <v>10199</v>
      </c>
      <c r="C684" s="26" t="s">
        <v>10200</v>
      </c>
      <c r="D684" s="26" t="s">
        <v>10201</v>
      </c>
      <c r="E684" s="26" t="s">
        <v>10202</v>
      </c>
      <c r="F684" s="26" t="s">
        <v>116</v>
      </c>
      <c r="G684" s="26" t="s">
        <v>197</v>
      </c>
      <c r="H684" s="26" t="str">
        <f t="shared" si="26"/>
        <v>JAMMU</v>
      </c>
      <c r="I684" s="26" t="s">
        <v>10208</v>
      </c>
      <c r="J684" s="27">
        <v>46136</v>
      </c>
      <c r="K684" s="26">
        <v>7889667593</v>
      </c>
      <c r="L684" s="26" t="s">
        <v>192</v>
      </c>
      <c r="M684" s="28" t="s">
        <v>9080</v>
      </c>
      <c r="N684" s="27">
        <v>46137</v>
      </c>
      <c r="O684" s="26" t="s">
        <v>23</v>
      </c>
      <c r="P684" s="29">
        <v>46137</v>
      </c>
      <c r="Q684" s="26" t="s">
        <v>6454</v>
      </c>
      <c r="R684" s="26"/>
    </row>
    <row r="685" spans="1:18" x14ac:dyDescent="0.25">
      <c r="A685" s="26">
        <f t="shared" si="20"/>
        <v>684</v>
      </c>
      <c r="B685" s="26" t="s">
        <v>10203</v>
      </c>
      <c r="C685" s="26" t="s">
        <v>10204</v>
      </c>
      <c r="D685" s="26" t="s">
        <v>10205</v>
      </c>
      <c r="E685" s="26" t="s">
        <v>10206</v>
      </c>
      <c r="F685" s="26" t="s">
        <v>116</v>
      </c>
      <c r="G685" s="26" t="s">
        <v>171</v>
      </c>
      <c r="H685" s="26" t="str">
        <f t="shared" si="26"/>
        <v>JAMMU</v>
      </c>
      <c r="I685" s="26" t="s">
        <v>10209</v>
      </c>
      <c r="J685" s="27">
        <v>46136</v>
      </c>
      <c r="K685" s="26">
        <v>6006498790</v>
      </c>
      <c r="L685" s="26" t="s">
        <v>192</v>
      </c>
      <c r="M685" s="28" t="s">
        <v>9080</v>
      </c>
      <c r="N685" s="27">
        <v>46137</v>
      </c>
      <c r="O685" s="26"/>
      <c r="P685" s="29"/>
      <c r="Q685" s="26"/>
      <c r="R685" s="26"/>
    </row>
    <row r="686" spans="1:18" x14ac:dyDescent="0.25">
      <c r="A686" s="26">
        <f t="shared" si="20"/>
        <v>685</v>
      </c>
      <c r="B686" s="26" t="s">
        <v>10210</v>
      </c>
      <c r="C686" s="26" t="s">
        <v>10211</v>
      </c>
      <c r="D686" s="26" t="s">
        <v>10212</v>
      </c>
      <c r="E686" s="26" t="s">
        <v>10213</v>
      </c>
      <c r="F686" s="26" t="s">
        <v>12</v>
      </c>
      <c r="G686" s="26" t="s">
        <v>197</v>
      </c>
      <c r="H686" s="26" t="str">
        <f t="shared" si="26"/>
        <v>PULWAMA</v>
      </c>
      <c r="I686" s="26" t="s">
        <v>10220</v>
      </c>
      <c r="J686" s="27">
        <v>46136</v>
      </c>
      <c r="K686" s="26">
        <v>9682368636</v>
      </c>
      <c r="L686" s="26" t="s">
        <v>26</v>
      </c>
      <c r="M686" s="28" t="s">
        <v>7606</v>
      </c>
      <c r="N686" s="27">
        <v>46137</v>
      </c>
      <c r="O686" s="26" t="s">
        <v>23</v>
      </c>
      <c r="P686" s="29">
        <v>46137</v>
      </c>
      <c r="Q686" s="26" t="s">
        <v>6454</v>
      </c>
      <c r="R686" s="26"/>
    </row>
    <row r="687" spans="1:18" x14ac:dyDescent="0.25">
      <c r="A687" s="26">
        <f t="shared" si="20"/>
        <v>686</v>
      </c>
      <c r="B687" s="26" t="s">
        <v>10217</v>
      </c>
      <c r="C687" s="26" t="s">
        <v>10218</v>
      </c>
      <c r="D687" s="26" t="s">
        <v>10232</v>
      </c>
      <c r="E687" s="26" t="s">
        <v>10219</v>
      </c>
      <c r="F687" s="26" t="s">
        <v>12</v>
      </c>
      <c r="G687" s="26" t="s">
        <v>171</v>
      </c>
      <c r="H687" s="26" t="str">
        <f t="shared" ref="H687:H691" si="27">IF(LEFT(I687,4)="JK13","PULWAMA",IF(LEFT(I687,4)="JK01","SRINAGAR",IF(LEFT(I687,4)="JK04","BUDGAM",IF(LEFT(I687,4)="JK03","ANANTNAG",IF(LEFT(I687,4)="JK05","BARAMULLA",IF(LEFT(I687,4)="26BH","BHARAT",IF(LEFT(I687,4)="25BH","BHARAT",IF(LEFT(I687,4)="JK12","POONCH",IF(LEFT(I687,4)="JK16","GANDERBAL",IF(LEFT(I687,4)="JK18","KULGAM",IF(LEFT(I687,4)="JK22","SHOPIAN",IF(LEFT(I687,4)="JK02","JAMMU",IF(LEFT(I687,4)="JK09","KUPWARA",IF(LEFT(I687,4)="JK15","BANDIPORA",IF(LEFT(I687,4)="JK17","KISHTWAR",IF(LEFT(I687,4)="LA01","KARGIL",IF(LEFT(I687,1)="T","TEMP","NEW")))))))))))))))))</f>
        <v>ANANTNAG</v>
      </c>
      <c r="I687" s="26" t="s">
        <v>10216</v>
      </c>
      <c r="J687" s="27">
        <v>46136</v>
      </c>
      <c r="K687" s="26">
        <v>8899963902</v>
      </c>
      <c r="L687" s="26" t="s">
        <v>26</v>
      </c>
      <c r="M687" s="28"/>
      <c r="N687" s="27"/>
      <c r="O687" s="26" t="s">
        <v>23</v>
      </c>
      <c r="P687" s="29">
        <v>46137</v>
      </c>
      <c r="Q687" s="26" t="s">
        <v>6454</v>
      </c>
      <c r="R687" s="26"/>
    </row>
    <row r="688" spans="1:18" x14ac:dyDescent="0.25">
      <c r="A688" s="26">
        <f t="shared" si="20"/>
        <v>687</v>
      </c>
      <c r="B688" s="26" t="s">
        <v>10221</v>
      </c>
      <c r="C688" s="26" t="s">
        <v>10222</v>
      </c>
      <c r="D688" s="26" t="s">
        <v>10235</v>
      </c>
      <c r="E688" s="26" t="s">
        <v>10223</v>
      </c>
      <c r="F688" s="26" t="s">
        <v>12</v>
      </c>
      <c r="G688" s="26" t="s">
        <v>197</v>
      </c>
      <c r="H688" s="26" t="str">
        <f t="shared" si="27"/>
        <v>BUDGAM</v>
      </c>
      <c r="I688" s="26" t="s">
        <v>10228</v>
      </c>
      <c r="J688" s="27">
        <v>46136</v>
      </c>
      <c r="K688" s="26">
        <v>9797242450</v>
      </c>
      <c r="L688" s="26" t="s">
        <v>68</v>
      </c>
      <c r="M688" s="28" t="s">
        <v>7943</v>
      </c>
      <c r="N688" s="27">
        <v>46137</v>
      </c>
      <c r="O688" s="26" t="s">
        <v>23</v>
      </c>
      <c r="P688" s="29">
        <v>46137</v>
      </c>
      <c r="Q688" s="26" t="s">
        <v>6454</v>
      </c>
      <c r="R688" s="26"/>
    </row>
    <row r="689" spans="1:18" x14ac:dyDescent="0.25">
      <c r="A689" s="26">
        <f t="shared" si="20"/>
        <v>688</v>
      </c>
      <c r="B689" s="26" t="s">
        <v>10224</v>
      </c>
      <c r="C689" s="26" t="s">
        <v>10225</v>
      </c>
      <c r="D689" s="26" t="s">
        <v>10234</v>
      </c>
      <c r="E689" s="26" t="s">
        <v>10226</v>
      </c>
      <c r="F689" s="26" t="s">
        <v>116</v>
      </c>
      <c r="G689" s="26" t="s">
        <v>197</v>
      </c>
      <c r="H689" s="26" t="str">
        <f t="shared" si="27"/>
        <v>BARAMULLA</v>
      </c>
      <c r="I689" s="26" t="s">
        <v>10227</v>
      </c>
      <c r="J689" s="27">
        <v>46136</v>
      </c>
      <c r="K689" s="26">
        <v>7006510365</v>
      </c>
      <c r="L689" s="26" t="s">
        <v>10243</v>
      </c>
      <c r="M689" s="28" t="s">
        <v>10236</v>
      </c>
      <c r="N689" s="27">
        <v>46142</v>
      </c>
      <c r="O689" s="26"/>
      <c r="P689" s="29"/>
      <c r="Q689" s="26"/>
      <c r="R689" s="26"/>
    </row>
    <row r="690" spans="1:18" x14ac:dyDescent="0.25">
      <c r="A690" s="26">
        <f t="shared" si="20"/>
        <v>689</v>
      </c>
      <c r="B690" s="26" t="s">
        <v>10230</v>
      </c>
      <c r="C690" s="26" t="s">
        <v>10231</v>
      </c>
      <c r="D690" s="26" t="s">
        <v>10233</v>
      </c>
      <c r="E690" s="26" t="s">
        <v>1334</v>
      </c>
      <c r="F690" s="26" t="s">
        <v>98</v>
      </c>
      <c r="G690" s="26" t="s">
        <v>178</v>
      </c>
      <c r="H690" s="26" t="str">
        <f t="shared" si="27"/>
        <v>BARAMULLA</v>
      </c>
      <c r="I690" s="26" t="s">
        <v>10229</v>
      </c>
      <c r="J690" s="27">
        <v>46136</v>
      </c>
      <c r="K690" s="26">
        <v>9622500584</v>
      </c>
      <c r="L690" s="26" t="s">
        <v>2168</v>
      </c>
      <c r="M690" s="28" t="s">
        <v>10346</v>
      </c>
      <c r="N690" s="27">
        <v>46142</v>
      </c>
      <c r="O690" s="26" t="s">
        <v>23</v>
      </c>
      <c r="P690" s="29">
        <v>46137</v>
      </c>
      <c r="Q690" s="26" t="s">
        <v>6454</v>
      </c>
      <c r="R690" s="26"/>
    </row>
    <row r="691" spans="1:18" x14ac:dyDescent="0.25">
      <c r="A691" s="26">
        <f t="shared" si="20"/>
        <v>690</v>
      </c>
      <c r="B691" s="26" t="s">
        <v>10244</v>
      </c>
      <c r="C691" s="26" t="s">
        <v>10245</v>
      </c>
      <c r="D691" s="26" t="s">
        <v>10246</v>
      </c>
      <c r="E691" s="26" t="s">
        <v>10247</v>
      </c>
      <c r="F691" s="26" t="s">
        <v>190</v>
      </c>
      <c r="G691" s="26" t="s">
        <v>196</v>
      </c>
      <c r="H691" s="26" t="str">
        <f t="shared" si="27"/>
        <v>PULWAMA</v>
      </c>
      <c r="I691" s="26" t="s">
        <v>10248</v>
      </c>
      <c r="J691" s="27">
        <v>46137</v>
      </c>
      <c r="K691" s="26">
        <v>9797536417</v>
      </c>
      <c r="L691" s="26" t="s">
        <v>6515</v>
      </c>
      <c r="M691" s="28" t="s">
        <v>7662</v>
      </c>
      <c r="N691" s="27">
        <v>46140</v>
      </c>
      <c r="O691" s="26"/>
      <c r="P691" s="29"/>
      <c r="Q691" s="26"/>
      <c r="R691" s="26"/>
    </row>
    <row r="692" spans="1:18" x14ac:dyDescent="0.25">
      <c r="A692" s="26">
        <f t="shared" si="20"/>
        <v>691</v>
      </c>
      <c r="B692" s="26" t="s">
        <v>10250</v>
      </c>
      <c r="C692" s="26" t="s">
        <v>10251</v>
      </c>
      <c r="D692" s="26" t="s">
        <v>10253</v>
      </c>
      <c r="E692" s="26" t="s">
        <v>10252</v>
      </c>
      <c r="F692" s="26" t="s">
        <v>116</v>
      </c>
      <c r="G692" s="26" t="s">
        <v>197</v>
      </c>
      <c r="H692" s="26" t="str">
        <f t="shared" ref="H692:H697" si="28">IF(LEFT(I692,4)="JK13","PULWAMA",IF(LEFT(I692,4)="JK01","SRINAGAR",IF(LEFT(I692,4)="JK04","BUDGAM",IF(LEFT(I692,4)="JK03","ANANTNAG",IF(LEFT(I692,4)="JK05","BARAMULLA",IF(LEFT(I692,4)="26BH","BHARAT",IF(LEFT(I692,4)="25BH","BHARAT",IF(LEFT(I692,4)="JK12","POONCH",IF(LEFT(I692,4)="JK16","GANDERBAL",IF(LEFT(I692,4)="JK18","KULGAM",IF(LEFT(I692,4)="JK22","SHOPIAN",IF(LEFT(I692,4)="JK02","JAMMU",IF(LEFT(I692,4)="JK09","KUPWARA",IF(LEFT(I692,4)="JK15","BANDIPORA",IF(LEFT(I692,4)="JK17","KISHTWAR",IF(LEFT(I692,4)="LA01","KARGIL",IF(LEFT(I692,1)="T","TEMP","NEW")))))))))))))))))</f>
        <v>JAMMU</v>
      </c>
      <c r="I692" s="26" t="s">
        <v>10254</v>
      </c>
      <c r="J692" s="27">
        <v>46137</v>
      </c>
      <c r="K692" s="26">
        <v>9419274448</v>
      </c>
      <c r="L692" s="26" t="s">
        <v>26</v>
      </c>
      <c r="M692" s="28" t="s">
        <v>7606</v>
      </c>
      <c r="N692" s="27">
        <v>46139</v>
      </c>
      <c r="O692" s="26" t="s">
        <v>23</v>
      </c>
      <c r="P692" s="29">
        <v>46139</v>
      </c>
      <c r="Q692" s="26" t="s">
        <v>6454</v>
      </c>
      <c r="R692" s="26"/>
    </row>
    <row r="693" spans="1:18" x14ac:dyDescent="0.25">
      <c r="A693" s="26">
        <f t="shared" si="20"/>
        <v>692</v>
      </c>
      <c r="B693" s="26" t="s">
        <v>10255</v>
      </c>
      <c r="C693" s="26" t="s">
        <v>10256</v>
      </c>
      <c r="D693" s="26" t="s">
        <v>10257</v>
      </c>
      <c r="E693" s="26" t="s">
        <v>10258</v>
      </c>
      <c r="F693" s="26" t="s">
        <v>116</v>
      </c>
      <c r="G693" s="26" t="s">
        <v>172</v>
      </c>
      <c r="H693" s="26" t="str">
        <f t="shared" si="28"/>
        <v>PULWAMA</v>
      </c>
      <c r="I693" s="26" t="s">
        <v>10259</v>
      </c>
      <c r="J693" s="27">
        <v>46139</v>
      </c>
      <c r="K693" s="26">
        <v>9103210274</v>
      </c>
      <c r="L693" s="26" t="s">
        <v>6515</v>
      </c>
      <c r="M693" s="28" t="s">
        <v>7662</v>
      </c>
      <c r="N693" s="27">
        <v>46142</v>
      </c>
      <c r="O693" s="26"/>
      <c r="P693" s="29"/>
      <c r="Q693" s="26"/>
      <c r="R693" s="26"/>
    </row>
    <row r="694" spans="1:18" x14ac:dyDescent="0.25">
      <c r="A694" s="26">
        <f t="shared" si="20"/>
        <v>693</v>
      </c>
      <c r="B694" s="26" t="s">
        <v>10260</v>
      </c>
      <c r="C694" s="26" t="s">
        <v>10262</v>
      </c>
      <c r="D694" s="26" t="s">
        <v>10263</v>
      </c>
      <c r="E694" s="26" t="s">
        <v>10261</v>
      </c>
      <c r="F694" s="26" t="s">
        <v>116</v>
      </c>
      <c r="G694" s="26" t="s">
        <v>171</v>
      </c>
      <c r="H694" s="26" t="str">
        <f t="shared" si="28"/>
        <v>SRINAGAR</v>
      </c>
      <c r="I694" s="26" t="s">
        <v>10264</v>
      </c>
      <c r="J694" s="27">
        <v>46139</v>
      </c>
      <c r="K694" s="26">
        <v>7006563570</v>
      </c>
      <c r="L694" s="26" t="s">
        <v>73</v>
      </c>
      <c r="M694" s="28" t="s">
        <v>7883</v>
      </c>
      <c r="N694" s="27">
        <v>46140</v>
      </c>
      <c r="O694" s="26" t="s">
        <v>23</v>
      </c>
      <c r="P694" s="29">
        <v>46139</v>
      </c>
      <c r="Q694" s="26" t="s">
        <v>6454</v>
      </c>
      <c r="R694" s="26"/>
    </row>
    <row r="695" spans="1:18" x14ac:dyDescent="0.25">
      <c r="A695" s="26">
        <f t="shared" si="20"/>
        <v>694</v>
      </c>
      <c r="B695" s="26" t="s">
        <v>10267</v>
      </c>
      <c r="C695" s="26" t="s">
        <v>10268</v>
      </c>
      <c r="D695" s="26" t="s">
        <v>10269</v>
      </c>
      <c r="E695" s="26" t="s">
        <v>10270</v>
      </c>
      <c r="F695" s="26" t="s">
        <v>116</v>
      </c>
      <c r="G695" s="26" t="s">
        <v>172</v>
      </c>
      <c r="H695" s="26" t="str">
        <f t="shared" si="28"/>
        <v>BUDGAM</v>
      </c>
      <c r="I695" s="26" t="s">
        <v>10271</v>
      </c>
      <c r="J695" s="27">
        <v>46139</v>
      </c>
      <c r="K695" s="26">
        <v>7780838222</v>
      </c>
      <c r="L695" s="26" t="s">
        <v>68</v>
      </c>
      <c r="M695" s="28" t="s">
        <v>7943</v>
      </c>
      <c r="N695" s="27">
        <v>46141</v>
      </c>
      <c r="O695" s="26" t="s">
        <v>23</v>
      </c>
      <c r="P695" s="29">
        <v>46141</v>
      </c>
      <c r="Q695" s="26" t="s">
        <v>6454</v>
      </c>
      <c r="R695" s="26"/>
    </row>
    <row r="696" spans="1:18" x14ac:dyDescent="0.25">
      <c r="A696" s="26">
        <f t="shared" si="20"/>
        <v>695</v>
      </c>
      <c r="B696" s="26" t="s">
        <v>10275</v>
      </c>
      <c r="C696" s="26" t="s">
        <v>10272</v>
      </c>
      <c r="D696" s="26" t="s">
        <v>10273</v>
      </c>
      <c r="E696" s="26" t="s">
        <v>10274</v>
      </c>
      <c r="F696" s="26" t="s">
        <v>12</v>
      </c>
      <c r="G696" s="26" t="s">
        <v>178</v>
      </c>
      <c r="H696" s="26" t="str">
        <f t="shared" si="28"/>
        <v>SRINAGAR</v>
      </c>
      <c r="I696" s="26" t="s">
        <v>10281</v>
      </c>
      <c r="J696" s="27">
        <v>46140</v>
      </c>
      <c r="K696" s="26">
        <v>8493061512</v>
      </c>
      <c r="L696" s="26" t="s">
        <v>6823</v>
      </c>
      <c r="M696" s="28"/>
      <c r="N696" s="27"/>
      <c r="O696" s="26" t="s">
        <v>23</v>
      </c>
      <c r="P696" s="29">
        <v>46140</v>
      </c>
      <c r="Q696" s="26" t="s">
        <v>6454</v>
      </c>
      <c r="R696" s="26"/>
    </row>
    <row r="697" spans="1:18" x14ac:dyDescent="0.25">
      <c r="A697" s="26">
        <f t="shared" si="20"/>
        <v>696</v>
      </c>
      <c r="B697" s="26" t="s">
        <v>10276</v>
      </c>
      <c r="C697" s="26" t="s">
        <v>10278</v>
      </c>
      <c r="D697" s="26" t="s">
        <v>10279</v>
      </c>
      <c r="E697" s="26" t="s">
        <v>10277</v>
      </c>
      <c r="F697" s="26" t="s">
        <v>5</v>
      </c>
      <c r="G697" s="26" t="s">
        <v>196</v>
      </c>
      <c r="H697" s="26" t="str">
        <f t="shared" si="28"/>
        <v>SRINAGAR</v>
      </c>
      <c r="I697" s="26" t="s">
        <v>10280</v>
      </c>
      <c r="J697" s="27">
        <v>46140</v>
      </c>
      <c r="K697" s="26">
        <v>7006974580</v>
      </c>
      <c r="L697" s="26" t="s">
        <v>68</v>
      </c>
      <c r="M697" s="28"/>
      <c r="N697" s="27"/>
      <c r="O697" s="26" t="s">
        <v>23</v>
      </c>
      <c r="P697" s="29">
        <v>46140</v>
      </c>
      <c r="Q697" s="26" t="s">
        <v>6454</v>
      </c>
      <c r="R697" s="26"/>
    </row>
    <row r="698" spans="1:18" x14ac:dyDescent="0.25">
      <c r="A698" s="26">
        <f t="shared" si="20"/>
        <v>697</v>
      </c>
      <c r="B698" s="26" t="s">
        <v>10282</v>
      </c>
      <c r="C698" s="26" t="s">
        <v>10283</v>
      </c>
      <c r="D698" s="26" t="s">
        <v>10284</v>
      </c>
      <c r="E698" s="26" t="s">
        <v>2977</v>
      </c>
      <c r="F698" s="26" t="s">
        <v>277</v>
      </c>
      <c r="G698" s="26" t="s">
        <v>197</v>
      </c>
      <c r="H698" s="26" t="str">
        <f t="shared" ref="H698:H707" si="29">IF(LEFT(I698,4)="JK13","PULWAMA",IF(LEFT(I698,4)="JK01","SRINAGAR",IF(LEFT(I698,4)="JK04","BUDGAM",IF(LEFT(I698,4)="JK03","ANANTNAG",IF(LEFT(I698,4)="JK05","BARAMULLA",IF(LEFT(I698,4)="26BH","BHARAT",IF(LEFT(I698,4)="25BH","BHARAT",IF(LEFT(I698,4)="JK12","POONCH",IF(LEFT(I698,4)="JK16","GANDERBAL",IF(LEFT(I698,4)="JK18","KULGAM",IF(LEFT(I698,4)="JK22","SHOPIAN",IF(LEFT(I698,4)="JK02","JAMMU",IF(LEFT(I698,4)="JK09","KUPWARA",IF(LEFT(I698,4)="JK15","BANDIPORA",IF(LEFT(I698,4)="JK17","KISHTWAR",IF(LEFT(I698,4)="LA01","KARGIL",IF(LEFT(I698,1)="T","TEMP","NEW")))))))))))))))))</f>
        <v>SHOPIAN</v>
      </c>
      <c r="I698" s="26" t="s">
        <v>10285</v>
      </c>
      <c r="J698" s="27">
        <v>46140</v>
      </c>
      <c r="K698" s="26">
        <v>9797183691</v>
      </c>
      <c r="L698" s="26" t="s">
        <v>9241</v>
      </c>
      <c r="M698" s="28"/>
      <c r="N698" s="27"/>
      <c r="O698" s="26" t="s">
        <v>23</v>
      </c>
      <c r="P698" s="29">
        <v>46140</v>
      </c>
      <c r="Q698" s="26" t="s">
        <v>6454</v>
      </c>
      <c r="R698" s="26"/>
    </row>
    <row r="699" spans="1:18" x14ac:dyDescent="0.25">
      <c r="A699" s="26">
        <f t="shared" si="20"/>
        <v>698</v>
      </c>
      <c r="B699" s="26" t="s">
        <v>10287</v>
      </c>
      <c r="C699" s="26" t="s">
        <v>10288</v>
      </c>
      <c r="D699" s="26" t="s">
        <v>10289</v>
      </c>
      <c r="E699" s="26" t="s">
        <v>10290</v>
      </c>
      <c r="F699" s="26" t="s">
        <v>5</v>
      </c>
      <c r="G699" s="26" t="s">
        <v>196</v>
      </c>
      <c r="H699" s="26" t="str">
        <f t="shared" si="29"/>
        <v>SRINAGAR</v>
      </c>
      <c r="I699" s="26" t="s">
        <v>10295</v>
      </c>
      <c r="J699" s="27">
        <v>46140</v>
      </c>
      <c r="K699" s="26">
        <v>9906169445</v>
      </c>
      <c r="L699" s="26" t="s">
        <v>10109</v>
      </c>
      <c r="M699" s="28" t="s">
        <v>10347</v>
      </c>
      <c r="N699" s="27">
        <v>46142</v>
      </c>
      <c r="O699" s="26" t="s">
        <v>23</v>
      </c>
      <c r="P699" s="29">
        <v>46141</v>
      </c>
      <c r="Q699" s="26" t="s">
        <v>6454</v>
      </c>
      <c r="R699" s="26"/>
    </row>
    <row r="700" spans="1:18" x14ac:dyDescent="0.25">
      <c r="A700" s="26">
        <f t="shared" si="20"/>
        <v>699</v>
      </c>
      <c r="B700" s="26" t="s">
        <v>10296</v>
      </c>
      <c r="C700" s="26" t="s">
        <v>10297</v>
      </c>
      <c r="D700" s="26" t="s">
        <v>10298</v>
      </c>
      <c r="E700" s="26" t="s">
        <v>1391</v>
      </c>
      <c r="F700" s="26" t="s">
        <v>116</v>
      </c>
      <c r="G700" s="26" t="s">
        <v>218</v>
      </c>
      <c r="H700" s="26" t="str">
        <f t="shared" si="29"/>
        <v>BUDGAM</v>
      </c>
      <c r="I700" s="26" t="s">
        <v>10307</v>
      </c>
      <c r="J700" s="27">
        <v>46141</v>
      </c>
      <c r="K700" s="26">
        <v>7780869535</v>
      </c>
      <c r="L700" s="26" t="s">
        <v>2168</v>
      </c>
      <c r="M700" s="28" t="s">
        <v>7706</v>
      </c>
      <c r="N700" s="27">
        <v>46142</v>
      </c>
      <c r="O700" s="26" t="s">
        <v>23</v>
      </c>
      <c r="P700" s="29">
        <v>46141</v>
      </c>
      <c r="Q700" s="26" t="s">
        <v>6454</v>
      </c>
      <c r="R700" s="26"/>
    </row>
    <row r="701" spans="1:18" x14ac:dyDescent="0.25">
      <c r="A701" s="26">
        <f t="shared" si="20"/>
        <v>700</v>
      </c>
      <c r="B701" s="26" t="s">
        <v>10299</v>
      </c>
      <c r="C701" s="26" t="s">
        <v>10300</v>
      </c>
      <c r="D701" s="26" t="s">
        <v>10301</v>
      </c>
      <c r="E701" s="26" t="s">
        <v>10302</v>
      </c>
      <c r="F701" s="26" t="s">
        <v>5</v>
      </c>
      <c r="G701" s="26" t="s">
        <v>196</v>
      </c>
      <c r="H701" s="26" t="str">
        <f t="shared" si="29"/>
        <v>SRINAGAR</v>
      </c>
      <c r="I701" s="26" t="s">
        <v>10308</v>
      </c>
      <c r="J701" s="27">
        <v>46141</v>
      </c>
      <c r="K701" s="26">
        <v>9622793345</v>
      </c>
      <c r="L701" s="26" t="s">
        <v>26</v>
      </c>
      <c r="M701" s="28"/>
      <c r="N701" s="27"/>
      <c r="O701" s="26" t="s">
        <v>23</v>
      </c>
      <c r="P701" s="29">
        <v>46141</v>
      </c>
      <c r="Q701" s="26" t="s">
        <v>6454</v>
      </c>
      <c r="R701" s="26"/>
    </row>
    <row r="702" spans="1:18" x14ac:dyDescent="0.25">
      <c r="A702" s="26">
        <f t="shared" si="20"/>
        <v>701</v>
      </c>
      <c r="B702" s="26" t="s">
        <v>10303</v>
      </c>
      <c r="C702" s="26" t="s">
        <v>10304</v>
      </c>
      <c r="D702" s="26" t="s">
        <v>10305</v>
      </c>
      <c r="E702" s="26" t="s">
        <v>10306</v>
      </c>
      <c r="F702" s="26" t="s">
        <v>65</v>
      </c>
      <c r="G702" s="26" t="s">
        <v>178</v>
      </c>
      <c r="H702" s="26" t="str">
        <f t="shared" si="29"/>
        <v>PULWAMA</v>
      </c>
      <c r="I702" s="26" t="s">
        <v>10309</v>
      </c>
      <c r="J702" s="27">
        <v>46141</v>
      </c>
      <c r="K702" s="26">
        <v>9906916201</v>
      </c>
      <c r="L702" s="26" t="s">
        <v>10243</v>
      </c>
      <c r="M702" s="28"/>
      <c r="N702" s="27"/>
      <c r="O702" s="26" t="s">
        <v>23</v>
      </c>
      <c r="P702" s="29">
        <v>46141</v>
      </c>
      <c r="Q702" s="26" t="s">
        <v>6454</v>
      </c>
      <c r="R702" s="26"/>
    </row>
    <row r="703" spans="1:18" x14ac:dyDescent="0.25">
      <c r="A703" s="26">
        <f t="shared" si="20"/>
        <v>702</v>
      </c>
      <c r="B703" s="26" t="s">
        <v>10315</v>
      </c>
      <c r="C703" s="26" t="s">
        <v>10316</v>
      </c>
      <c r="D703" s="26" t="s">
        <v>10317</v>
      </c>
      <c r="E703" s="26" t="s">
        <v>10318</v>
      </c>
      <c r="F703" s="26" t="s">
        <v>98</v>
      </c>
      <c r="G703" s="26" t="s">
        <v>178</v>
      </c>
      <c r="H703" s="26" t="str">
        <f t="shared" si="29"/>
        <v>KULGAM</v>
      </c>
      <c r="I703" s="26" t="s">
        <v>10320</v>
      </c>
      <c r="J703" s="27">
        <v>46141</v>
      </c>
      <c r="K703" s="26">
        <v>7780813464</v>
      </c>
      <c r="L703" s="26" t="s">
        <v>6534</v>
      </c>
      <c r="M703" s="28"/>
      <c r="N703" s="27"/>
      <c r="O703" s="26" t="s">
        <v>23</v>
      </c>
      <c r="P703" s="29">
        <v>46142</v>
      </c>
      <c r="Q703" s="26" t="s">
        <v>6454</v>
      </c>
      <c r="R703" s="26"/>
    </row>
    <row r="704" spans="1:18" x14ac:dyDescent="0.25">
      <c r="A704" s="26">
        <f t="shared" ref="A704:A718" si="30">ROW()-1</f>
        <v>703</v>
      </c>
      <c r="B704" s="26" t="s">
        <v>10322</v>
      </c>
      <c r="C704" s="26" t="s">
        <v>10323</v>
      </c>
      <c r="D704" s="26" t="s">
        <v>10325</v>
      </c>
      <c r="E704" s="26" t="s">
        <v>10324</v>
      </c>
      <c r="F704" s="26" t="s">
        <v>98</v>
      </c>
      <c r="G704" s="26" t="s">
        <v>223</v>
      </c>
      <c r="H704" s="26" t="str">
        <f t="shared" si="29"/>
        <v>BANDIPORA</v>
      </c>
      <c r="I704" s="26" t="s">
        <v>10336</v>
      </c>
      <c r="J704" s="27">
        <v>46142</v>
      </c>
      <c r="K704" s="26">
        <v>9596304308</v>
      </c>
      <c r="L704" s="26" t="s">
        <v>303</v>
      </c>
      <c r="M704" s="28"/>
      <c r="N704" s="27"/>
      <c r="O704" s="26" t="s">
        <v>23</v>
      </c>
      <c r="P704" s="29">
        <v>46142</v>
      </c>
      <c r="Q704" s="26" t="s">
        <v>6454</v>
      </c>
      <c r="R704" s="26"/>
    </row>
    <row r="705" spans="1:18" x14ac:dyDescent="0.25">
      <c r="A705" s="26">
        <f t="shared" si="30"/>
        <v>704</v>
      </c>
      <c r="B705" s="26" t="s">
        <v>10326</v>
      </c>
      <c r="C705" s="26" t="s">
        <v>10327</v>
      </c>
      <c r="D705" s="26" t="s">
        <v>10328</v>
      </c>
      <c r="E705" s="26" t="s">
        <v>10329</v>
      </c>
      <c r="F705" s="26" t="s">
        <v>98</v>
      </c>
      <c r="G705" s="26" t="s">
        <v>197</v>
      </c>
      <c r="H705" s="26" t="str">
        <f t="shared" si="29"/>
        <v>PULWAMA</v>
      </c>
      <c r="I705" s="26" t="s">
        <v>10335</v>
      </c>
      <c r="J705" s="27">
        <v>46142</v>
      </c>
      <c r="K705" s="26">
        <v>7006832228</v>
      </c>
      <c r="L705" s="26" t="s">
        <v>6564</v>
      </c>
      <c r="M705" s="28"/>
      <c r="N705" s="27"/>
      <c r="O705" s="26"/>
      <c r="P705" s="29"/>
      <c r="Q705" s="26"/>
      <c r="R705" s="26"/>
    </row>
    <row r="706" spans="1:18" x14ac:dyDescent="0.25">
      <c r="A706" s="26">
        <f t="shared" si="30"/>
        <v>705</v>
      </c>
      <c r="B706" s="26" t="s">
        <v>10330</v>
      </c>
      <c r="C706" s="26" t="s">
        <v>10331</v>
      </c>
      <c r="D706" s="26" t="s">
        <v>10332</v>
      </c>
      <c r="E706" s="26" t="s">
        <v>10333</v>
      </c>
      <c r="F706" s="26" t="s">
        <v>234</v>
      </c>
      <c r="G706" s="26" t="s">
        <v>6469</v>
      </c>
      <c r="H706" s="26" t="str">
        <f t="shared" si="29"/>
        <v>SRINAGAR</v>
      </c>
      <c r="I706" s="26" t="s">
        <v>10334</v>
      </c>
      <c r="J706" s="27">
        <v>46142</v>
      </c>
      <c r="K706" s="26">
        <v>9906838909</v>
      </c>
      <c r="L706" s="26" t="s">
        <v>191</v>
      </c>
      <c r="M706" s="28"/>
      <c r="N706" s="27"/>
      <c r="O706" s="26" t="s">
        <v>23</v>
      </c>
      <c r="P706" s="29">
        <v>46142</v>
      </c>
      <c r="Q706" s="26" t="s">
        <v>6454</v>
      </c>
      <c r="R706" s="26"/>
    </row>
    <row r="707" spans="1:18" x14ac:dyDescent="0.25">
      <c r="A707" s="26">
        <f t="shared" si="30"/>
        <v>706</v>
      </c>
      <c r="B707" s="26" t="s">
        <v>10337</v>
      </c>
      <c r="C707" s="26" t="s">
        <v>10341</v>
      </c>
      <c r="D707" s="26" t="s">
        <v>10342</v>
      </c>
      <c r="E707" s="26" t="s">
        <v>10343</v>
      </c>
      <c r="F707" s="26" t="s">
        <v>31</v>
      </c>
      <c r="G707" s="26" t="s">
        <v>196</v>
      </c>
      <c r="H707" s="26" t="str">
        <f t="shared" si="29"/>
        <v>SRINAGAR</v>
      </c>
      <c r="I707" s="26" t="s">
        <v>10344</v>
      </c>
      <c r="J707" s="27">
        <v>46142</v>
      </c>
      <c r="K707" s="26">
        <v>9906742075</v>
      </c>
      <c r="L707" s="48" t="s">
        <v>68</v>
      </c>
      <c r="M707" s="28"/>
      <c r="N707" s="27"/>
      <c r="O707" s="26" t="s">
        <v>23</v>
      </c>
      <c r="P707" s="29">
        <v>46142</v>
      </c>
      <c r="Q707" s="26" t="s">
        <v>6454</v>
      </c>
      <c r="R707" s="26"/>
    </row>
    <row r="708" spans="1:18" x14ac:dyDescent="0.25">
      <c r="A708" s="26">
        <f t="shared" si="30"/>
        <v>707</v>
      </c>
      <c r="B708" s="26" t="s">
        <v>10340</v>
      </c>
      <c r="C708" s="26" t="s">
        <v>10338</v>
      </c>
      <c r="D708" s="26" t="s">
        <v>10339</v>
      </c>
      <c r="E708" s="26" t="s">
        <v>1391</v>
      </c>
      <c r="F708" s="26" t="s">
        <v>116</v>
      </c>
      <c r="G708" s="26" t="s">
        <v>197</v>
      </c>
      <c r="H708" s="49" t="str">
        <f t="shared" ref="H708:H718" si="31">IF(LEFT(I708,4)="JK13","PULWAMA",IF(LEFT(I708,4)="JK01","SRINAGAR",IF(LEFT(I708,4)="JK04","BUDGAM",IF(LEFT(I708,4)="JK03","ANANTNAG",IF(LEFT(I708,4)="JK05","BARAMULLA",IF(LEFT(I708,4)="26BH","BHARAT",IF(LEFT(I708,4)="25BH","BHARAT",IF(LEFT(I708,4)="JK12","POONCH",IF(LEFT(I708,4)="JK16","GANDERBAL",IF(LEFT(I708,4)="JK18","KULGAM",IF(LEFT(I708,4)="JK22","SHOPIAN",IF(LEFT(I708,4)="JK02","JAMMU",IF(LEFT(I708,4)="JK09","KUPWARA",IF(LEFT(I708,4)="JK15","BANDIPORA",IF(LEFT(I708,4)="JK17","KISHTWAR",IF(LEFT(I708,4)="LA01","KARGIL",IF(LEFT(I708,1)="T","TEMP","NEW")))))))))))))))))</f>
        <v>SRINAGAR</v>
      </c>
      <c r="I708" s="26" t="s">
        <v>10345</v>
      </c>
      <c r="J708" s="50">
        <v>46142</v>
      </c>
      <c r="K708" s="26">
        <v>9541833250</v>
      </c>
      <c r="L708" s="50" t="s">
        <v>6446</v>
      </c>
      <c r="M708" s="52"/>
      <c r="N708" s="50"/>
      <c r="O708" s="48"/>
      <c r="P708" s="53"/>
      <c r="Q708" s="48"/>
      <c r="R708" s="48"/>
    </row>
    <row r="709" spans="1:18" x14ac:dyDescent="0.25">
      <c r="A709" s="26">
        <f t="shared" si="30"/>
        <v>708</v>
      </c>
      <c r="B709" s="26"/>
      <c r="C709" s="26"/>
      <c r="D709" s="26"/>
      <c r="E709" s="26"/>
      <c r="F709" s="26"/>
      <c r="G709" s="26"/>
      <c r="H709" s="49" t="str">
        <f t="shared" si="31"/>
        <v>NEW</v>
      </c>
      <c r="I709" s="48"/>
      <c r="J709" s="50"/>
      <c r="K709" s="51"/>
      <c r="L709" s="48"/>
      <c r="M709" s="52"/>
      <c r="N709" s="50"/>
      <c r="O709" s="48"/>
      <c r="P709" s="53"/>
      <c r="Q709" s="48"/>
      <c r="R709" s="48"/>
    </row>
    <row r="710" spans="1:18" x14ac:dyDescent="0.25">
      <c r="A710" s="26">
        <f t="shared" si="30"/>
        <v>709</v>
      </c>
      <c r="B710" s="26"/>
      <c r="C710" s="26"/>
      <c r="D710" s="26"/>
      <c r="E710" s="26"/>
      <c r="F710" s="26"/>
      <c r="G710" s="26"/>
      <c r="H710" s="49" t="str">
        <f t="shared" si="31"/>
        <v>NEW</v>
      </c>
      <c r="I710" s="48"/>
      <c r="J710" s="50"/>
      <c r="K710" s="51"/>
      <c r="L710" s="48"/>
      <c r="M710" s="52"/>
      <c r="N710" s="50"/>
      <c r="O710" s="48"/>
      <c r="P710" s="53"/>
      <c r="Q710" s="48"/>
      <c r="R710" s="48"/>
    </row>
    <row r="711" spans="1:18" x14ac:dyDescent="0.25">
      <c r="A711" s="26">
        <f t="shared" si="30"/>
        <v>710</v>
      </c>
      <c r="B711" s="48"/>
      <c r="C711" s="48"/>
      <c r="D711" s="48"/>
      <c r="E711" s="48"/>
      <c r="F711" s="48"/>
      <c r="G711" s="48"/>
      <c r="H711" s="49" t="str">
        <f t="shared" si="31"/>
        <v>NEW</v>
      </c>
      <c r="I711" s="48"/>
      <c r="J711" s="50"/>
      <c r="K711" s="51"/>
      <c r="L711" s="48"/>
      <c r="M711" s="52"/>
      <c r="N711" s="50"/>
      <c r="O711" s="48"/>
      <c r="P711" s="53"/>
      <c r="Q711" s="48"/>
      <c r="R711" s="48"/>
    </row>
    <row r="712" spans="1:18" x14ac:dyDescent="0.25">
      <c r="A712" s="26">
        <f t="shared" si="30"/>
        <v>711</v>
      </c>
      <c r="B712" s="48"/>
      <c r="C712" s="48"/>
      <c r="D712" s="48"/>
      <c r="E712" s="48"/>
      <c r="F712" s="48"/>
      <c r="G712" s="48"/>
      <c r="H712" s="49" t="str">
        <f t="shared" si="31"/>
        <v>NEW</v>
      </c>
      <c r="I712" s="48"/>
      <c r="J712" s="50"/>
      <c r="K712" s="51"/>
      <c r="L712" s="48"/>
      <c r="M712" s="52"/>
      <c r="N712" s="50"/>
      <c r="O712" s="48"/>
      <c r="P712" s="53"/>
      <c r="Q712" s="48"/>
      <c r="R712" s="48"/>
    </row>
    <row r="713" spans="1:18" x14ac:dyDescent="0.25">
      <c r="A713" s="26">
        <f t="shared" si="30"/>
        <v>712</v>
      </c>
      <c r="B713" s="48"/>
      <c r="C713" s="48"/>
      <c r="D713" s="48"/>
      <c r="E713" s="48"/>
      <c r="F713" s="48"/>
      <c r="G713" s="48"/>
      <c r="H713" s="49" t="str">
        <f t="shared" si="31"/>
        <v>NEW</v>
      </c>
      <c r="I713" s="48"/>
      <c r="J713" s="50"/>
      <c r="K713" s="51"/>
      <c r="L713" s="48"/>
      <c r="M713" s="52"/>
      <c r="N713" s="50"/>
      <c r="O713" s="48"/>
      <c r="P713" s="53"/>
      <c r="Q713" s="48"/>
      <c r="R713" s="48"/>
    </row>
    <row r="714" spans="1:18" x14ac:dyDescent="0.25">
      <c r="A714" s="26">
        <f t="shared" si="30"/>
        <v>713</v>
      </c>
      <c r="B714" s="48"/>
      <c r="C714" s="48"/>
      <c r="D714" s="48"/>
      <c r="E714" s="48"/>
      <c r="F714" s="48"/>
      <c r="G714" s="48"/>
      <c r="H714" s="49" t="str">
        <f t="shared" si="31"/>
        <v>NEW</v>
      </c>
      <c r="I714" s="48"/>
      <c r="J714" s="50"/>
      <c r="K714" s="51"/>
      <c r="L714" s="48"/>
      <c r="M714" s="52"/>
      <c r="N714" s="50"/>
      <c r="O714" s="48"/>
      <c r="P714" s="53"/>
      <c r="Q714" s="48"/>
      <c r="R714" s="48"/>
    </row>
    <row r="715" spans="1:18" x14ac:dyDescent="0.25">
      <c r="A715" s="26">
        <f t="shared" si="30"/>
        <v>714</v>
      </c>
      <c r="B715" s="48"/>
      <c r="C715" s="48"/>
      <c r="D715" s="48"/>
      <c r="E715" s="48"/>
      <c r="F715" s="48"/>
      <c r="G715" s="48"/>
      <c r="H715" s="49" t="str">
        <f t="shared" si="31"/>
        <v>NEW</v>
      </c>
      <c r="I715" s="48"/>
      <c r="J715" s="50"/>
      <c r="K715" s="51"/>
      <c r="L715" s="48"/>
      <c r="M715" s="52"/>
      <c r="N715" s="50"/>
      <c r="O715" s="48"/>
      <c r="P715" s="53"/>
      <c r="Q715" s="48"/>
      <c r="R715" s="48"/>
    </row>
    <row r="716" spans="1:18" x14ac:dyDescent="0.25">
      <c r="A716" s="26">
        <f t="shared" si="30"/>
        <v>715</v>
      </c>
      <c r="B716" s="48"/>
      <c r="C716" s="48"/>
      <c r="D716" s="48"/>
      <c r="E716" s="48"/>
      <c r="F716" s="48"/>
      <c r="G716" s="48"/>
      <c r="H716" s="49" t="str">
        <f t="shared" si="31"/>
        <v>NEW</v>
      </c>
      <c r="I716" s="48"/>
      <c r="J716" s="50"/>
      <c r="K716" s="51"/>
      <c r="L716" s="48"/>
      <c r="M716" s="52"/>
      <c r="N716" s="50"/>
      <c r="O716" s="48"/>
      <c r="P716" s="53"/>
      <c r="Q716" s="48"/>
      <c r="R716" s="48"/>
    </row>
    <row r="717" spans="1:18" x14ac:dyDescent="0.25">
      <c r="A717" s="26">
        <f t="shared" si="30"/>
        <v>716</v>
      </c>
      <c r="B717" s="48"/>
      <c r="C717" s="48"/>
      <c r="D717" s="48"/>
      <c r="E717" s="48"/>
      <c r="F717" s="48"/>
      <c r="G717" s="48"/>
      <c r="H717" s="49" t="str">
        <f t="shared" si="31"/>
        <v>NEW</v>
      </c>
      <c r="I717" s="48"/>
      <c r="J717" s="50"/>
      <c r="K717" s="51"/>
      <c r="L717" s="48"/>
      <c r="M717" s="52"/>
      <c r="N717" s="50"/>
      <c r="O717" s="48"/>
      <c r="P717" s="53"/>
      <c r="Q717" s="48"/>
      <c r="R717" s="48"/>
    </row>
    <row r="718" spans="1:18" x14ac:dyDescent="0.25">
      <c r="A718" s="26">
        <f t="shared" si="30"/>
        <v>717</v>
      </c>
      <c r="B718" s="48"/>
      <c r="C718" s="48"/>
      <c r="D718" s="48"/>
      <c r="E718" s="48"/>
      <c r="F718" s="48"/>
      <c r="G718" s="48"/>
      <c r="H718" s="49" t="str">
        <f t="shared" si="31"/>
        <v>NEW</v>
      </c>
      <c r="I718" s="48"/>
      <c r="J718" s="50"/>
      <c r="K718" s="51"/>
      <c r="L718" s="48"/>
      <c r="M718" s="52"/>
      <c r="N718" s="50"/>
      <c r="O718" s="48"/>
      <c r="P718" s="53"/>
      <c r="Q718" s="48"/>
      <c r="R718" s="48"/>
    </row>
    <row r="719" spans="1:18" ht="15.75" x14ac:dyDescent="0.25">
      <c r="A719" s="26"/>
      <c r="B719" s="26"/>
      <c r="C719" s="26"/>
      <c r="D719" s="26"/>
      <c r="E719" s="26"/>
      <c r="F719" s="26"/>
      <c r="G719" s="26"/>
      <c r="H719" s="1"/>
      <c r="I719" s="26"/>
      <c r="J719" s="12"/>
      <c r="K719" s="26"/>
      <c r="L719" s="26"/>
      <c r="M719" t="s">
        <v>43</v>
      </c>
    </row>
    <row r="720" spans="1:18" ht="15.75" x14ac:dyDescent="0.25">
      <c r="A720" s="26"/>
      <c r="B720" s="26"/>
      <c r="C720" s="26"/>
      <c r="D720" s="26"/>
      <c r="E720" s="26"/>
      <c r="F720" s="26"/>
      <c r="G720" s="26"/>
      <c r="H720" s="1"/>
      <c r="I720" s="13"/>
      <c r="K720" s="26"/>
      <c r="L720" s="26"/>
    </row>
    <row r="721" spans="11:11" x14ac:dyDescent="0.25">
      <c r="K721" s="26"/>
    </row>
    <row r="722" spans="11:11" x14ac:dyDescent="0.25">
      <c r="K722" s="26"/>
    </row>
    <row r="723" spans="11:11" x14ac:dyDescent="0.25">
      <c r="K723" s="26"/>
    </row>
    <row r="724" spans="11:11" x14ac:dyDescent="0.25">
      <c r="K724" s="26"/>
    </row>
    <row r="725" spans="11:11" x14ac:dyDescent="0.25">
      <c r="K725" s="26"/>
    </row>
    <row r="726" spans="11:11" x14ac:dyDescent="0.25">
      <c r="K726" s="26"/>
    </row>
    <row r="727" spans="11:11" x14ac:dyDescent="0.25">
      <c r="K727" s="26"/>
    </row>
    <row r="728" spans="11:11" x14ac:dyDescent="0.25">
      <c r="K728" s="26"/>
    </row>
    <row r="729" spans="11:11" x14ac:dyDescent="0.25">
      <c r="K729" s="26"/>
    </row>
    <row r="730" spans="11:11" x14ac:dyDescent="0.25">
      <c r="K730" s="26"/>
    </row>
    <row r="731" spans="11:11" x14ac:dyDescent="0.25">
      <c r="K731" s="26"/>
    </row>
    <row r="732" spans="11:11" x14ac:dyDescent="0.25">
      <c r="K732" s="26"/>
    </row>
    <row r="733" spans="11:11" x14ac:dyDescent="0.25">
      <c r="K733" s="26"/>
    </row>
    <row r="734" spans="11:11" x14ac:dyDescent="0.25">
      <c r="K734" s="26"/>
    </row>
    <row r="735" spans="11:11" x14ac:dyDescent="0.25">
      <c r="K735" s="26"/>
    </row>
    <row r="736" spans="11:11" x14ac:dyDescent="0.25">
      <c r="K736" s="26"/>
    </row>
    <row r="737" spans="11:11" x14ac:dyDescent="0.25">
      <c r="K737" s="26"/>
    </row>
    <row r="738" spans="11:11" x14ac:dyDescent="0.25">
      <c r="K738" s="26"/>
    </row>
    <row r="739" spans="11:11" x14ac:dyDescent="0.25">
      <c r="K739" s="26"/>
    </row>
    <row r="740" spans="11:11" x14ac:dyDescent="0.25">
      <c r="K740" s="26"/>
    </row>
    <row r="741" spans="11:11" x14ac:dyDescent="0.25">
      <c r="K741" s="26"/>
    </row>
    <row r="742" spans="11:11" x14ac:dyDescent="0.25">
      <c r="K742" s="26"/>
    </row>
    <row r="743" spans="11:11" x14ac:dyDescent="0.25">
      <c r="K743" s="26"/>
    </row>
    <row r="744" spans="11:11" x14ac:dyDescent="0.25">
      <c r="K744" s="26"/>
    </row>
    <row r="745" spans="11:11" x14ac:dyDescent="0.25">
      <c r="K745" s="26"/>
    </row>
    <row r="746" spans="11:11" x14ac:dyDescent="0.25">
      <c r="K746" s="26"/>
    </row>
    <row r="747" spans="11:11" x14ac:dyDescent="0.25">
      <c r="K747" s="26"/>
    </row>
    <row r="748" spans="11:11" x14ac:dyDescent="0.25">
      <c r="K748" s="26"/>
    </row>
    <row r="749" spans="11:11" x14ac:dyDescent="0.25">
      <c r="K749" s="26"/>
    </row>
    <row r="750" spans="11:11" x14ac:dyDescent="0.25">
      <c r="K750" s="26"/>
    </row>
    <row r="751" spans="11:11" x14ac:dyDescent="0.25">
      <c r="K751" s="26"/>
    </row>
    <row r="752" spans="11:11" x14ac:dyDescent="0.25">
      <c r="K752" s="26"/>
    </row>
    <row r="753" spans="11:11" x14ac:dyDescent="0.25">
      <c r="K753" s="26"/>
    </row>
    <row r="754" spans="11:11" x14ac:dyDescent="0.25">
      <c r="K754" s="26"/>
    </row>
    <row r="755" spans="11:11" x14ac:dyDescent="0.25">
      <c r="K755" s="26"/>
    </row>
    <row r="756" spans="11:11" x14ac:dyDescent="0.25">
      <c r="K756" s="26"/>
    </row>
    <row r="757" spans="11:11" x14ac:dyDescent="0.25">
      <c r="K757" s="26"/>
    </row>
    <row r="758" spans="11:11" x14ac:dyDescent="0.25">
      <c r="K758" s="26"/>
    </row>
    <row r="759" spans="11:11" x14ac:dyDescent="0.25">
      <c r="K759" s="26"/>
    </row>
    <row r="760" spans="11:11" x14ac:dyDescent="0.25">
      <c r="K760" s="26"/>
    </row>
    <row r="761" spans="11:11" x14ac:dyDescent="0.25">
      <c r="K761" s="26"/>
    </row>
    <row r="762" spans="11:11" x14ac:dyDescent="0.25">
      <c r="K762" s="26"/>
    </row>
    <row r="763" spans="11:11" x14ac:dyDescent="0.25">
      <c r="K763" s="26"/>
    </row>
    <row r="764" spans="11:11" x14ac:dyDescent="0.25">
      <c r="K764" s="26"/>
    </row>
    <row r="765" spans="11:11" x14ac:dyDescent="0.25">
      <c r="K765" s="26"/>
    </row>
    <row r="766" spans="11:11" x14ac:dyDescent="0.25">
      <c r="K766" s="26"/>
    </row>
    <row r="767" spans="11:11" x14ac:dyDescent="0.25">
      <c r="K767" s="26"/>
    </row>
    <row r="768" spans="11:11" x14ac:dyDescent="0.25">
      <c r="K768" s="26"/>
    </row>
    <row r="769" spans="11:11" x14ac:dyDescent="0.25">
      <c r="K769" s="26"/>
    </row>
    <row r="770" spans="11:11" x14ac:dyDescent="0.25">
      <c r="K770" s="26"/>
    </row>
    <row r="771" spans="11:11" x14ac:dyDescent="0.25">
      <c r="K771" s="26"/>
    </row>
    <row r="772" spans="11:11" x14ac:dyDescent="0.25">
      <c r="K772" s="26"/>
    </row>
    <row r="773" spans="11:11" x14ac:dyDescent="0.25">
      <c r="K773" s="26"/>
    </row>
    <row r="774" spans="11:11" x14ac:dyDescent="0.25">
      <c r="K774" s="26"/>
    </row>
    <row r="775" spans="11:11" x14ac:dyDescent="0.25">
      <c r="K775" s="26"/>
    </row>
    <row r="776" spans="11:11" x14ac:dyDescent="0.25">
      <c r="K776" s="26"/>
    </row>
    <row r="777" spans="11:11" x14ac:dyDescent="0.25">
      <c r="K777" s="26"/>
    </row>
    <row r="778" spans="11:11" x14ac:dyDescent="0.25">
      <c r="K778" s="26"/>
    </row>
    <row r="779" spans="11:11" x14ac:dyDescent="0.25">
      <c r="K779" s="26"/>
    </row>
    <row r="780" spans="11:11" x14ac:dyDescent="0.25">
      <c r="K780" s="26"/>
    </row>
    <row r="781" spans="11:11" x14ac:dyDescent="0.25">
      <c r="K781" s="26"/>
    </row>
    <row r="782" spans="11:11" x14ac:dyDescent="0.25">
      <c r="K782" s="26"/>
    </row>
    <row r="783" spans="11:11" x14ac:dyDescent="0.25">
      <c r="K783" s="26"/>
    </row>
    <row r="784" spans="11:11" x14ac:dyDescent="0.25">
      <c r="K784" s="26"/>
    </row>
    <row r="785" spans="11:11" x14ac:dyDescent="0.25">
      <c r="K785" s="26"/>
    </row>
    <row r="786" spans="11:11" x14ac:dyDescent="0.25">
      <c r="K786" s="26"/>
    </row>
    <row r="787" spans="11:11" x14ac:dyDescent="0.25">
      <c r="K787" s="26"/>
    </row>
    <row r="788" spans="11:11" x14ac:dyDescent="0.25">
      <c r="K788" s="26"/>
    </row>
    <row r="789" spans="11:11" x14ac:dyDescent="0.25">
      <c r="K789" s="26"/>
    </row>
    <row r="790" spans="11:11" x14ac:dyDescent="0.25">
      <c r="K790" s="26"/>
    </row>
    <row r="791" spans="11:11" x14ac:dyDescent="0.25">
      <c r="K791" s="26"/>
    </row>
    <row r="792" spans="11:11" x14ac:dyDescent="0.25">
      <c r="K792" s="26"/>
    </row>
    <row r="793" spans="11:11" x14ac:dyDescent="0.25">
      <c r="K793" s="26"/>
    </row>
    <row r="794" spans="11:11" x14ac:dyDescent="0.25">
      <c r="K794" s="26"/>
    </row>
    <row r="795" spans="11:11" x14ac:dyDescent="0.25">
      <c r="K795" s="26"/>
    </row>
    <row r="796" spans="11:11" x14ac:dyDescent="0.25">
      <c r="K796" s="26"/>
    </row>
    <row r="797" spans="11:11" x14ac:dyDescent="0.25">
      <c r="K797" s="26"/>
    </row>
    <row r="798" spans="11:11" x14ac:dyDescent="0.25">
      <c r="K798" s="26"/>
    </row>
    <row r="799" spans="11:11" ht="15.75" x14ac:dyDescent="0.25">
      <c r="K799" s="12"/>
    </row>
    <row r="800" spans="11:11" ht="15.75" x14ac:dyDescent="0.25">
      <c r="K800" s="12"/>
    </row>
    <row r="801" spans="11:11" ht="15.75" x14ac:dyDescent="0.25">
      <c r="K801" s="12"/>
    </row>
    <row r="802" spans="11:11" ht="15.75" x14ac:dyDescent="0.25">
      <c r="K802" s="12"/>
    </row>
    <row r="803" spans="11:11" ht="15.75" x14ac:dyDescent="0.25">
      <c r="K803" s="12"/>
    </row>
    <row r="804" spans="11:11" ht="15.75" x14ac:dyDescent="0.25">
      <c r="K804" s="12"/>
    </row>
    <row r="805" spans="11:11" ht="15.75" x14ac:dyDescent="0.25">
      <c r="K805" s="12"/>
    </row>
    <row r="806" spans="11:11" ht="15.75" x14ac:dyDescent="0.25">
      <c r="K806" s="12"/>
    </row>
    <row r="807" spans="11:11" ht="15.75" x14ac:dyDescent="0.25">
      <c r="K807" s="12"/>
    </row>
    <row r="808" spans="11:11" ht="15.75" x14ac:dyDescent="0.25">
      <c r="K808" s="12"/>
    </row>
    <row r="809" spans="11:11" ht="15.75" x14ac:dyDescent="0.25">
      <c r="K809" s="12"/>
    </row>
    <row r="810" spans="11:11" ht="15.75" x14ac:dyDescent="0.25">
      <c r="K810" s="12"/>
    </row>
    <row r="811" spans="11:11" ht="15.75" x14ac:dyDescent="0.25">
      <c r="K811" s="12"/>
    </row>
    <row r="812" spans="11:11" ht="15.75" x14ac:dyDescent="0.25">
      <c r="K812" s="12"/>
    </row>
    <row r="813" spans="11:11" ht="15.75" x14ac:dyDescent="0.25">
      <c r="K813" s="12"/>
    </row>
    <row r="814" spans="11:11" ht="15.75" x14ac:dyDescent="0.25">
      <c r="K814" s="12"/>
    </row>
    <row r="815" spans="11:11" ht="15.75" x14ac:dyDescent="0.25">
      <c r="K815" s="12"/>
    </row>
    <row r="816" spans="11:11" ht="15.75" x14ac:dyDescent="0.25">
      <c r="K816" s="12"/>
    </row>
    <row r="817" spans="11:11" ht="15.75" x14ac:dyDescent="0.25">
      <c r="K817" s="12"/>
    </row>
    <row r="818" spans="11:11" ht="15.75" x14ac:dyDescent="0.25">
      <c r="K818" s="12"/>
    </row>
    <row r="819" spans="11:11" ht="15.75" x14ac:dyDescent="0.25">
      <c r="K819" s="12"/>
    </row>
    <row r="820" spans="11:11" ht="15.75" x14ac:dyDescent="0.25">
      <c r="K820" s="12"/>
    </row>
    <row r="821" spans="11:11" ht="15.75" x14ac:dyDescent="0.25">
      <c r="K821" s="12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ht="15.75" x14ac:dyDescent="0.25">
      <c r="K827" s="12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ht="15.75" x14ac:dyDescent="0.25">
      <c r="K837" s="12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  <row r="841" spans="11:11" ht="15.75" x14ac:dyDescent="0.25">
      <c r="K841" s="12"/>
    </row>
    <row r="842" spans="11:11" ht="15.75" x14ac:dyDescent="0.25">
      <c r="K842" s="12"/>
    </row>
    <row r="843" spans="11:11" ht="15.75" x14ac:dyDescent="0.25">
      <c r="K843" s="12"/>
    </row>
    <row r="844" spans="11:11" ht="15.75" x14ac:dyDescent="0.25">
      <c r="K844" s="12"/>
    </row>
    <row r="845" spans="11:11" ht="15.75" x14ac:dyDescent="0.25">
      <c r="K845" s="12"/>
    </row>
    <row r="846" spans="11:11" ht="15.75" x14ac:dyDescent="0.25">
      <c r="K846" s="12"/>
    </row>
    <row r="847" spans="11:11" ht="15.75" x14ac:dyDescent="0.25">
      <c r="K847" s="12"/>
    </row>
    <row r="848" spans="11:11" x14ac:dyDescent="0.25">
      <c r="K848" s="25"/>
    </row>
    <row r="849" spans="11:11" ht="15.75" x14ac:dyDescent="0.25">
      <c r="K849" s="12"/>
    </row>
    <row r="850" spans="11:11" ht="15.75" x14ac:dyDescent="0.25">
      <c r="K850" s="12"/>
    </row>
    <row r="851" spans="11:11" ht="15.75" x14ac:dyDescent="0.25">
      <c r="K851" s="12"/>
    </row>
    <row r="852" spans="11:11" ht="15.75" x14ac:dyDescent="0.25">
      <c r="K852" s="12"/>
    </row>
    <row r="853" spans="11:11" ht="15.75" x14ac:dyDescent="0.25">
      <c r="K853" s="12"/>
    </row>
    <row r="854" spans="11:11" ht="15.75" x14ac:dyDescent="0.25">
      <c r="K854" s="12"/>
    </row>
    <row r="855" spans="11:11" ht="15.75" x14ac:dyDescent="0.25">
      <c r="K855" s="12"/>
    </row>
    <row r="856" spans="11:11" ht="15.75" x14ac:dyDescent="0.25">
      <c r="K856" s="12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  <row r="860" spans="11:11" ht="15.75" x14ac:dyDescent="0.25">
      <c r="K860" s="12"/>
    </row>
    <row r="861" spans="11:11" ht="15.75" x14ac:dyDescent="0.25">
      <c r="K861" s="12"/>
    </row>
    <row r="862" spans="11:11" ht="15.75" x14ac:dyDescent="0.25">
      <c r="K862" s="12"/>
    </row>
    <row r="863" spans="11:11" ht="15.75" x14ac:dyDescent="0.25">
      <c r="K863" s="12"/>
    </row>
    <row r="864" spans="11:11" ht="15.75" x14ac:dyDescent="0.25">
      <c r="K864" s="12"/>
    </row>
    <row r="865" spans="11:11" ht="15.75" x14ac:dyDescent="0.25">
      <c r="K865" s="12"/>
    </row>
    <row r="866" spans="11:11" ht="15.75" x14ac:dyDescent="0.25">
      <c r="K866" s="12"/>
    </row>
    <row r="867" spans="11:11" ht="15.75" x14ac:dyDescent="0.25">
      <c r="K867" s="12"/>
    </row>
    <row r="868" spans="11:11" ht="15.75" x14ac:dyDescent="0.25">
      <c r="K868" s="12"/>
    </row>
    <row r="869" spans="11:11" ht="15.75" x14ac:dyDescent="0.25">
      <c r="K869" s="12"/>
    </row>
    <row r="870" spans="11:11" ht="15.75" x14ac:dyDescent="0.25">
      <c r="K870" s="12"/>
    </row>
    <row r="871" spans="11:11" ht="15.75" x14ac:dyDescent="0.25">
      <c r="K871" s="12"/>
    </row>
    <row r="872" spans="11:11" ht="15.75" x14ac:dyDescent="0.25">
      <c r="K872" s="12"/>
    </row>
    <row r="873" spans="11:11" ht="15.75" x14ac:dyDescent="0.25">
      <c r="K873" s="12"/>
    </row>
    <row r="874" spans="11:11" ht="15.75" x14ac:dyDescent="0.25">
      <c r="K874" s="12"/>
    </row>
    <row r="875" spans="11:11" ht="15.75" x14ac:dyDescent="0.25">
      <c r="K875" s="12"/>
    </row>
    <row r="876" spans="11:11" ht="15.75" x14ac:dyDescent="0.25">
      <c r="K876" s="12"/>
    </row>
    <row r="877" spans="11:11" ht="15.75" x14ac:dyDescent="0.25">
      <c r="K877" s="12"/>
    </row>
    <row r="878" spans="11:11" ht="15.75" x14ac:dyDescent="0.25">
      <c r="K878" s="12"/>
    </row>
    <row r="879" spans="11:11" ht="15.75" x14ac:dyDescent="0.25">
      <c r="K879" s="12"/>
    </row>
    <row r="880" spans="11:11" ht="15.75" x14ac:dyDescent="0.25">
      <c r="K880" s="12"/>
    </row>
    <row r="881" spans="11:11" ht="15.75" x14ac:dyDescent="0.25">
      <c r="K881" s="12"/>
    </row>
    <row r="882" spans="11:11" ht="15.75" x14ac:dyDescent="0.25">
      <c r="K882" s="12"/>
    </row>
    <row r="883" spans="11:11" ht="15.75" x14ac:dyDescent="0.25">
      <c r="K883" s="12"/>
    </row>
    <row r="884" spans="11:11" ht="15.75" x14ac:dyDescent="0.25">
      <c r="K884" s="12"/>
    </row>
    <row r="885" spans="11:11" ht="15.75" x14ac:dyDescent="0.25">
      <c r="K885" s="12"/>
    </row>
    <row r="886" spans="11:11" ht="15.75" x14ac:dyDescent="0.25">
      <c r="K886" s="12"/>
    </row>
  </sheetData>
  <conditionalFormatting sqref="A645:F645 K652:K670 G664:J666 G667:H668 I667:J670 F669:H669 G670:H670 I670:I691 L679:R697 H683:H691 J683:J691 A692:J692 F693:J693 I693:I698 F694:H694 J694 F695:J695 G696:H696 J696:J697 H697 H698:J698 M698:R701 G699:J699 B700:J700 I719 K721:K798 G701:J701 B702:J702 A711:R718 F705:H705 B703:H704 H706:H708 M708:R708 A564:A710 H709:R710 B673:G710 I703:J708 L702:R707">
    <cfRule type="expression" dxfId="25" priority="2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B577:G646 K578:K603 L579 G579:J580 K580:L580 L581 H581:J582 I581:I587 L582:R590 B583:J584 G585:H585 J585:J587 H586 G587:H587 B588:J589 H590:J590 I590:I602 J591:R591 H591:H594 J592:J602 L592:R603 B595:H597 G598:H598 H599:H600 G601:H602 G603:J603 H604:J606 K604:R612 G607:J607 F608:J608 E609:H609 I609:J612 H610 G611:H612 A613:B613 G613:R616 H617:R622 A619:B619 A623:B623 H623:J623 J623:R630 H624:H626 I624:I654 F627:H627 H628 G629:H630 K630:K644 F631:H631 J631:J632 L631:R632 G632:H632 H633 J633:R633 H634:R634 H635:H636 J635:J636 L635:R670 H637:K637 J638:K638 H638:I639 J639:J640 H640 H641:J641 K641:L644 G642:J642 J643:J644 G643:H648 J645:K653 E647:G651 B647:D653 J648:L648 B648:G671 H649:H650 F651:H651 E652:H653 G654:J655 G656:K658 B659:J662 I662:I663 B662:H666 J663 D667:D673 G671:L671 M671:R678 B672:C672 E672:H672 J672:J676 L673:L676 B673:H677 J677:R677 G678:H678 L678 J678:J681 F679:H679 H680:H681 H682:J682 D683:H690 A719:G720 K719:L720">
    <cfRule type="expression" dxfId="24" priority="16">
      <formula>CELL("row")=ROW()</formula>
    </cfRule>
  </conditionalFormatting>
  <conditionalFormatting sqref="B257:G290 B291:B300 C291:G301">
    <cfRule type="expression" dxfId="23" priority="14">
      <formula>CELL("row")=ROW()</formula>
    </cfRule>
  </conditionalFormatting>
  <conditionalFormatting sqref="F398">
    <cfRule type="expression" dxfId="22" priority="9">
      <formula>CELL("row")=ROW()</formula>
    </cfRule>
  </conditionalFormatting>
  <conditionalFormatting sqref="F420">
    <cfRule type="expression" dxfId="21" priority="8">
      <formula>CELL("row")=ROW()</formula>
    </cfRule>
  </conditionalFormatting>
  <conditionalFormatting sqref="F326:G326">
    <cfRule type="expression" dxfId="20" priority="11">
      <formula>CELL("row")=ROW()</formula>
    </cfRule>
  </conditionalFormatting>
  <conditionalFormatting sqref="G266">
    <cfRule type="expression" dxfId="19" priority="13">
      <formula>CELL("row")=ROW()</formula>
    </cfRule>
  </conditionalFormatting>
  <conditionalFormatting sqref="I558">
    <cfRule type="expression" dxfId="18" priority="4">
      <formula>CELL("row")=ROW()</formula>
    </cfRule>
  </conditionalFormatting>
  <conditionalFormatting sqref="K672:K697 K698:L700 L701 K701:K708">
    <cfRule type="expression" dxfId="17" priority="1">
      <formula>CELL("row")=ROW()</formula>
    </cfRule>
  </conditionalFormatting>
  <conditionalFormatting sqref="L532:L535">
    <cfRule type="expression" dxfId="16" priority="6">
      <formula>CELL("row")=ROW()</formula>
    </cfRule>
  </conditionalFormatting>
  <conditionalFormatting sqref="M719:O720">
    <cfRule type="expression" dxfId="15" priority="25">
      <formula>ROW(O93)=HighlightRow</formula>
    </cfRule>
  </conditionalFormatting>
  <conditionalFormatting sqref="P719:Q720">
    <cfRule type="expression" dxfId="14" priority="29">
      <formula>ROW(S93)=HighlightRow</formula>
    </cfRule>
  </conditionalFormatting>
  <conditionalFormatting sqref="S105:XFD105">
    <cfRule type="expression" dxfId="13" priority="30">
      <formula>ROW(T94)=HighlightRow</formula>
    </cfRule>
  </conditionalFormatting>
  <conditionalFormatting sqref="S106:XFD114">
    <cfRule type="expression" dxfId="12" priority="27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31" zoomScaleNormal="100" workbookViewId="0">
      <selection activeCell="B943" sqref="B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65"/>
  <sheetViews>
    <sheetView topLeftCell="A425" zoomScaleNormal="100" workbookViewId="0">
      <selection activeCell="D443" sqref="D44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8155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26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6" t="s">
        <v>654</v>
      </c>
      <c r="C421" s="26"/>
      <c r="D421" s="26" t="s">
        <v>10173</v>
      </c>
      <c r="E421" s="26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6" t="s">
        <v>10176</v>
      </c>
      <c r="C422" s="26">
        <v>6005669330</v>
      </c>
      <c r="D422" s="26" t="s">
        <v>10174</v>
      </c>
      <c r="E422" s="26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6" t="s">
        <v>10150</v>
      </c>
      <c r="C423" s="26">
        <v>6005538221</v>
      </c>
      <c r="D423" s="26" t="s">
        <v>10175</v>
      </c>
      <c r="E423" s="26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6" t="s">
        <v>10187</v>
      </c>
      <c r="C424" s="26">
        <v>9622844543</v>
      </c>
      <c r="D424" s="26" t="s">
        <v>10192</v>
      </c>
      <c r="E424" s="26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6" t="s">
        <v>10194</v>
      </c>
      <c r="C425" s="26">
        <v>9797996370</v>
      </c>
      <c r="D425" s="26" t="s">
        <v>10193</v>
      </c>
      <c r="E425" s="26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6" t="s">
        <v>10184</v>
      </c>
      <c r="C426" s="26">
        <v>7780959516</v>
      </c>
      <c r="D426" s="26" t="s">
        <v>10195</v>
      </c>
      <c r="E426" s="26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6" t="s">
        <v>10214</v>
      </c>
      <c r="C427" s="26">
        <v>8825098042</v>
      </c>
      <c r="D427" s="26" t="s">
        <v>10215</v>
      </c>
      <c r="E427" s="26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6" t="s">
        <v>10202</v>
      </c>
      <c r="C428" s="26">
        <v>7889667593</v>
      </c>
      <c r="D428" s="26" t="s">
        <v>10237</v>
      </c>
      <c r="E428" s="26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6" t="s">
        <v>9801</v>
      </c>
      <c r="C429" s="26">
        <v>7006569087</v>
      </c>
      <c r="D429" s="26" t="s">
        <v>10238</v>
      </c>
      <c r="E429" s="26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6" t="s">
        <v>8964</v>
      </c>
      <c r="C430" s="26">
        <v>9149718898</v>
      </c>
      <c r="D430" s="26" t="s">
        <v>10239</v>
      </c>
      <c r="E430" s="26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6" t="s">
        <v>9777</v>
      </c>
      <c r="C431" s="26">
        <v>7006462986</v>
      </c>
      <c r="D431" s="26" t="s">
        <v>10240</v>
      </c>
      <c r="E431" s="26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6" t="s">
        <v>1334</v>
      </c>
      <c r="C432" s="26">
        <v>9622500584</v>
      </c>
      <c r="D432" s="26" t="s">
        <v>10241</v>
      </c>
      <c r="E432" s="26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6" t="s">
        <v>10223</v>
      </c>
      <c r="C433" s="26">
        <v>9797242450</v>
      </c>
      <c r="D433" s="26" t="s">
        <v>10242</v>
      </c>
      <c r="E433" s="26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6" t="s">
        <v>10213</v>
      </c>
      <c r="C434" s="26">
        <v>9682368636</v>
      </c>
      <c r="D434" s="26" t="s">
        <v>10249</v>
      </c>
      <c r="E434" s="26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6" t="s">
        <v>10252</v>
      </c>
      <c r="C435" s="26">
        <v>9419274448</v>
      </c>
      <c r="D435" s="26" t="s">
        <v>10265</v>
      </c>
      <c r="E435" s="26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6" t="s">
        <v>10261</v>
      </c>
      <c r="C436" s="26">
        <v>7006563570</v>
      </c>
      <c r="D436" s="26" t="s">
        <v>10266</v>
      </c>
      <c r="E436" s="26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6" t="s">
        <v>9424</v>
      </c>
      <c r="C437" s="26">
        <v>6006798382</v>
      </c>
      <c r="D437" s="26" t="s">
        <v>10291</v>
      </c>
      <c r="E437" s="26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6" t="s">
        <v>10274</v>
      </c>
      <c r="C438" s="26">
        <v>8493061512</v>
      </c>
      <c r="D438" s="26" t="s">
        <v>10292</v>
      </c>
      <c r="E438" s="26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6" t="s">
        <v>2977</v>
      </c>
      <c r="C439" s="26">
        <v>9596198305</v>
      </c>
      <c r="D439" s="26" t="s">
        <v>10293</v>
      </c>
      <c r="E439" s="26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6" t="s">
        <v>10277</v>
      </c>
      <c r="C440" s="26">
        <v>7006974580</v>
      </c>
      <c r="D440" s="26" t="s">
        <v>10294</v>
      </c>
      <c r="E440" s="26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6" t="s">
        <v>10302</v>
      </c>
      <c r="C441" s="26">
        <v>9622793345</v>
      </c>
      <c r="D441" s="26" t="s">
        <v>10311</v>
      </c>
      <c r="E441" s="26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6" t="s">
        <v>10270</v>
      </c>
      <c r="C442" s="26">
        <v>7780838222</v>
      </c>
      <c r="D442" s="26" t="s">
        <v>10312</v>
      </c>
      <c r="E442" s="26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6" t="s">
        <v>10310</v>
      </c>
      <c r="C443" s="26">
        <v>7889514057</v>
      </c>
      <c r="D443" s="26" t="s">
        <v>10313</v>
      </c>
      <c r="E443" s="26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6" t="s">
        <v>1391</v>
      </c>
      <c r="C444" s="26">
        <v>7780869535</v>
      </c>
      <c r="D444" s="26" t="s">
        <v>10314</v>
      </c>
      <c r="E444" s="26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6" t="s">
        <v>10306</v>
      </c>
      <c r="C445" s="26">
        <v>9906916201</v>
      </c>
      <c r="D445" s="26" t="s">
        <v>10319</v>
      </c>
      <c r="E445" s="26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6" t="s">
        <v>10318</v>
      </c>
      <c r="C446" s="26">
        <v>7780813464</v>
      </c>
      <c r="D446" s="26" t="s">
        <v>10321</v>
      </c>
      <c r="E446" s="26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12"/>
      <c r="C447" s="12"/>
      <c r="D447" s="12"/>
      <c r="E447" s="12"/>
      <c r="F447" s="14"/>
      <c r="G447" s="14"/>
      <c r="H447" s="12"/>
    </row>
    <row r="448" spans="1:8" ht="15.75" x14ac:dyDescent="0.25">
      <c r="A448" s="12">
        <f t="shared" si="6"/>
        <v>446</v>
      </c>
      <c r="B448" s="12"/>
      <c r="C448" s="12"/>
      <c r="D448" s="12"/>
      <c r="E448" s="12"/>
      <c r="F448" s="14"/>
      <c r="G448" s="14"/>
      <c r="H448" s="12"/>
    </row>
    <row r="449" spans="1:8" ht="15.75" x14ac:dyDescent="0.25">
      <c r="A449" s="12">
        <f t="shared" si="6"/>
        <v>447</v>
      </c>
      <c r="B449" s="12"/>
      <c r="C449" s="12"/>
      <c r="D449" s="12"/>
      <c r="E449" s="12"/>
      <c r="F449" s="14"/>
      <c r="G449" s="14"/>
      <c r="H449" s="12"/>
    </row>
    <row r="450" spans="1:8" ht="15.75" x14ac:dyDescent="0.25">
      <c r="A450" s="12">
        <f t="shared" si="6"/>
        <v>448</v>
      </c>
      <c r="B450" s="12"/>
      <c r="C450" s="12"/>
      <c r="D450" s="12"/>
      <c r="E450" s="12"/>
      <c r="F450" s="14"/>
      <c r="G450" s="14"/>
      <c r="H450" s="12"/>
    </row>
    <row r="451" spans="1:8" ht="15.75" x14ac:dyDescent="0.25">
      <c r="A451" s="12">
        <f t="shared" si="6"/>
        <v>449</v>
      </c>
      <c r="B451" s="12"/>
      <c r="C451" s="12"/>
      <c r="D451" s="12"/>
      <c r="E451" s="12"/>
      <c r="F451" s="14"/>
      <c r="G451" s="14"/>
      <c r="H451" s="12"/>
    </row>
    <row r="452" spans="1:8" ht="15.75" x14ac:dyDescent="0.25">
      <c r="A452" s="12">
        <f t="shared" si="6"/>
        <v>450</v>
      </c>
      <c r="B452" s="12"/>
      <c r="C452" s="12"/>
      <c r="D452" s="12"/>
      <c r="E452" s="12"/>
      <c r="F452" s="14"/>
      <c r="G452" s="14"/>
      <c r="H452" s="12"/>
    </row>
    <row r="453" spans="1:8" ht="15.75" x14ac:dyDescent="0.25">
      <c r="A453" s="12">
        <f t="shared" si="6"/>
        <v>451</v>
      </c>
      <c r="B453" s="12"/>
      <c r="C453" s="12"/>
      <c r="D453" s="12"/>
      <c r="E453" s="12"/>
      <c r="F453" s="14"/>
      <c r="G453" s="14"/>
      <c r="H453" s="12"/>
    </row>
    <row r="454" spans="1:8" ht="15.75" x14ac:dyDescent="0.25">
      <c r="A454" s="12">
        <f t="shared" si="6"/>
        <v>452</v>
      </c>
      <c r="B454" s="12"/>
      <c r="C454" s="12"/>
      <c r="D454" s="12"/>
      <c r="E454" s="12"/>
      <c r="F454" s="14"/>
      <c r="G454" s="14"/>
      <c r="H454" s="12"/>
    </row>
    <row r="455" spans="1:8" ht="15.75" x14ac:dyDescent="0.25">
      <c r="A455" s="12">
        <f t="shared" ref="A455:A463" si="7">ROW()-2</f>
        <v>453</v>
      </c>
      <c r="B455" s="12"/>
      <c r="C455" s="12"/>
      <c r="D455" s="12"/>
      <c r="E455" s="12"/>
      <c r="F455" s="14"/>
      <c r="G455" s="14"/>
      <c r="H455" s="12"/>
    </row>
    <row r="456" spans="1:8" ht="15.75" x14ac:dyDescent="0.25">
      <c r="A456" s="12">
        <f t="shared" si="7"/>
        <v>454</v>
      </c>
      <c r="B456" s="12"/>
      <c r="C456" s="12"/>
      <c r="D456" s="12"/>
      <c r="E456" s="12"/>
      <c r="F456" s="14"/>
      <c r="G456" s="14"/>
      <c r="H456" s="12"/>
    </row>
    <row r="457" spans="1:8" ht="15.75" x14ac:dyDescent="0.25">
      <c r="A457" s="12">
        <f t="shared" si="7"/>
        <v>455</v>
      </c>
      <c r="B457" s="12"/>
      <c r="C457" s="12"/>
      <c r="D457" s="12"/>
      <c r="E457" s="12"/>
      <c r="F457" s="14"/>
      <c r="G457" s="14"/>
      <c r="H457" s="12"/>
    </row>
    <row r="458" spans="1:8" ht="15.75" x14ac:dyDescent="0.25">
      <c r="A458" s="12">
        <f t="shared" si="7"/>
        <v>456</v>
      </c>
      <c r="B458" s="12"/>
      <c r="C458" s="12"/>
      <c r="D458" s="12"/>
      <c r="E458" s="12"/>
      <c r="F458" s="14"/>
      <c r="G458" s="14"/>
      <c r="H458" s="12"/>
    </row>
    <row r="459" spans="1:8" ht="15.75" x14ac:dyDescent="0.25">
      <c r="A459" s="12">
        <f t="shared" si="7"/>
        <v>457</v>
      </c>
      <c r="B459" s="12"/>
      <c r="C459" s="12"/>
      <c r="D459" s="12"/>
      <c r="E459" s="12"/>
      <c r="F459" s="14"/>
      <c r="G459" s="14"/>
      <c r="H459" s="12"/>
    </row>
    <row r="460" spans="1:8" ht="15.75" x14ac:dyDescent="0.25">
      <c r="A460" s="12">
        <f t="shared" si="7"/>
        <v>458</v>
      </c>
      <c r="B460" s="12"/>
      <c r="C460" s="12"/>
      <c r="D460" s="12"/>
      <c r="E460" s="12"/>
      <c r="F460" s="14"/>
      <c r="G460" s="14"/>
      <c r="H460" s="12"/>
    </row>
    <row r="461" spans="1:8" ht="15.75" x14ac:dyDescent="0.25">
      <c r="A461" s="12">
        <f t="shared" si="7"/>
        <v>459</v>
      </c>
      <c r="B461" s="12"/>
      <c r="C461" s="12"/>
      <c r="D461" s="12"/>
      <c r="E461" s="12"/>
      <c r="F461" s="14"/>
      <c r="G461" s="14"/>
      <c r="H461" s="12"/>
    </row>
    <row r="462" spans="1:8" ht="15.75" x14ac:dyDescent="0.25">
      <c r="A462" s="12">
        <f t="shared" si="7"/>
        <v>460</v>
      </c>
      <c r="B462" s="12"/>
      <c r="C462" s="12"/>
      <c r="D462" s="12"/>
      <c r="E462" s="12"/>
      <c r="F462" s="14"/>
      <c r="G462" s="14"/>
      <c r="H462" s="12"/>
    </row>
    <row r="463" spans="1:8" ht="15.75" x14ac:dyDescent="0.25">
      <c r="A463" s="12">
        <f t="shared" si="7"/>
        <v>461</v>
      </c>
      <c r="B463" s="12"/>
      <c r="C463" s="12"/>
      <c r="D463" s="12"/>
      <c r="E463" s="12"/>
      <c r="F463" s="14"/>
      <c r="G463" s="14"/>
      <c r="H463" s="12"/>
    </row>
    <row r="464" spans="1:8" x14ac:dyDescent="0.25">
      <c r="B464" s="26"/>
      <c r="C464" s="26"/>
      <c r="D464" s="26"/>
      <c r="E464" s="26"/>
    </row>
    <row r="465" spans="2:5" x14ac:dyDescent="0.25">
      <c r="B465" s="26"/>
      <c r="C465" s="26"/>
      <c r="D465" s="26"/>
      <c r="E465" s="26"/>
    </row>
  </sheetData>
  <mergeCells count="1">
    <mergeCell ref="A1:H1"/>
  </mergeCells>
  <phoneticPr fontId="27" type="noConversion"/>
  <conditionalFormatting sqref="B252:C252 B311:E465">
    <cfRule type="expression" dxfId="11" priority="22">
      <formula>CELL("row")=ROW()</formula>
    </cfRule>
  </conditionalFormatting>
  <conditionalFormatting sqref="B192:D193 D194:D195 B196:D211">
    <cfRule type="expression" dxfId="10" priority="28">
      <formula>CELL("row")=ROW()</formula>
    </cfRule>
  </conditionalFormatting>
  <conditionalFormatting sqref="B3:E309 B304:C313 D310:E310">
    <cfRule type="expression" dxfId="9" priority="49">
      <formula>CELL("row")=ROW()</formula>
    </cfRule>
  </conditionalFormatting>
  <conditionalFormatting sqref="C104">
    <cfRule type="expression" dxfId="8" priority="48">
      <formula>CELL("row")=ROW()</formula>
    </cfRule>
  </conditionalFormatting>
  <conditionalFormatting sqref="C123">
    <cfRule type="expression" dxfId="7" priority="45">
      <formula>CELL("row")=ROW()</formula>
    </cfRule>
  </conditionalFormatting>
  <conditionalFormatting sqref="C208:C209">
    <cfRule type="expression" dxfId="6" priority="26">
      <formula>CELL("row")=ROW()</formula>
    </cfRule>
  </conditionalFormatting>
  <conditionalFormatting sqref="C418:C423">
    <cfRule type="expression" dxfId="5" priority="4">
      <formula>CELL("row")=ROW()</formula>
    </cfRule>
  </conditionalFormatting>
  <conditionalFormatting sqref="C239:E244 C252:E252">
    <cfRule type="expression" dxfId="4" priority="20">
      <formula>CELL("row")=ROW()</formula>
    </cfRule>
  </conditionalFormatting>
  <conditionalFormatting sqref="D422:D423">
    <cfRule type="expression" dxfId="3" priority="3">
      <formula>CELL("row")=ROW()</formula>
    </cfRule>
  </conditionalFormatting>
  <conditionalFormatting sqref="E123">
    <cfRule type="expression" dxfId="2" priority="46">
      <formula>CELL("row")=ROW()</formula>
    </cfRule>
  </conditionalFormatting>
  <conditionalFormatting sqref="E289:E295">
    <cfRule type="expression" dxfId="1" priority="10">
      <formula>CELL("row")=ROW()</formula>
    </cfRule>
  </conditionalFormatting>
  <conditionalFormatting sqref="E416">
    <cfRule type="expression" dxfId="0" priority="7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2026-04-30T12:43:53Z</dcterms:modified>
</cp:coreProperties>
</file>