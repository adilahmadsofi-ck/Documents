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2F81CD2-4C50-475F-9C7E-3A877612CDA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48" i="4" l="1"/>
  <c r="H749" i="4"/>
  <c r="H750" i="4"/>
  <c r="H751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A748" i="4"/>
  <c r="A749" i="4"/>
  <c r="A750" i="4"/>
  <c r="A751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H739" i="4"/>
  <c r="H740" i="4"/>
  <c r="H741" i="4"/>
  <c r="H742" i="4"/>
  <c r="H743" i="4"/>
  <c r="H744" i="4"/>
  <c r="H745" i="4"/>
  <c r="H746" i="4"/>
  <c r="H747" i="4"/>
  <c r="A739" i="4"/>
  <c r="A740" i="4"/>
  <c r="A741" i="4"/>
  <c r="A742" i="4"/>
  <c r="A743" i="4"/>
  <c r="A744" i="4"/>
  <c r="A745" i="4"/>
  <c r="A746" i="4"/>
  <c r="A747" i="4"/>
  <c r="A468" i="7"/>
  <c r="A469" i="7"/>
  <c r="A470" i="7"/>
  <c r="H752" i="4"/>
  <c r="H733" i="4"/>
  <c r="H734" i="4"/>
  <c r="H735" i="4"/>
  <c r="H736" i="4"/>
  <c r="H737" i="4"/>
  <c r="H738" i="4"/>
  <c r="A752" i="4"/>
  <c r="A733" i="4"/>
  <c r="A734" i="4"/>
  <c r="A735" i="4"/>
  <c r="A736" i="4"/>
  <c r="A737" i="4"/>
  <c r="A738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<sst xmlns="http://schemas.openxmlformats.org/spreadsheetml/2006/main" count="26493" uniqueCount="10605">
  <si>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</si>
  <si>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</si>
  <si>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</si>
  <si>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</si>
  <si>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</si>
  <si>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</si>
  <si>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</si>
  <si>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</si>
  <si>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</si>
  <si>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</si>
  <si>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</si>
  <si>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</si>
  <si>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</si>
  <si>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</si>
  <si>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</si>
  <si>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</si>
  <si>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</si>
  <si>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</si>
  <si>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</si>
  <si>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</si>
  <si>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</si>
  <si>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</si>
  <si>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</si>
  <si>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</si>
  <si>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</si>
  <si>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</si>
  <si>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</si>
  <si>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</si>
  <si>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</si>
  <si>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</si>
  <si>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</si>
  <si>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</si>
  <si>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</si>
  <si>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</si>
  <si>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</si>
  <si>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</si>
  <si>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</si>
  <si>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</si>
  <si>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</si>
  <si>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</si>
  <si>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</si>
  <si>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</si>
  <si>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</si>
  <si>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</si>
  <si>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</si>
  <si>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</si>
  <si>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</si>
  <si>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</si>
  <si>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</si>
  <si>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</si>
  <si>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</si>
  <si>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</si>
  <si>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</si>
  <si>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</si>
  <si>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</si>
  <si>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</si>
  <si>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</si>
  <si>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</si>
  <si>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</si>
  <si>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</si>
  <si>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</si>
  <si>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</si>
  <si>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</si>
  <si>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</si>
  <si>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</si>
  <si>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</si>
  <si>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</si>
  <si>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</si>
  <si>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</si>
  <si>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</si>
  <si>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</si>
  <si>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</si>
  <si>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</si>
  <si>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</si>
  <si>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</si>
  <si>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</si>
  <si>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</si>
  <si>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</si>
  <si>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</si>
  <si>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</si>
  <si>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</si>
  <si>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</si>
  <si>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</si>
  <si>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</si>
  <si>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</si>
  <si>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</si>
  <si>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</si>
  <si>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</si>
  <si>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</si>
  <si>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</si>
  <si>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</si>
  <si>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</si>
  <si>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</si>
  <si>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</si>
  <si>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</si>
  <si>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</si>
  <si>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</si>
  <si>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</si>
  <si>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</si>
  <si>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</si>
  <si>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</si>
  <si>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</si>
  <si>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</si>
  <si>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</si>
  <si>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</si>
  <si>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</si>
  <si>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</si>
  <si>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</si>
  <si>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</si>
  <si>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</si>
  <si>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</si>
  <si>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</si>
  <si>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</si>
  <si>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</si>
  <si>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</si>
  <si>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</si>
  <si>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</si>
  <si>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</si>
  <si>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</si>
  <si>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</si>
  <si>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</si>
  <si>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</si>
  <si>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</si>
  <si>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</si>
  <si>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</si>
  <si>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</si>
  <si>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</si>
  <si>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</si>
  <si>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</si>
  <si>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</si>
  <si>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</si>
  <si>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</si>
  <si>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</si>
  <si>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</si>
  <si>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</si>
  <si>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</si>
  <si>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</si>
  <si>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</si>
  <si>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</si>
  <si>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</si>
  <si>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</si>
  <si>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</si>
  <si>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</si>
  <si>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</si>
  <si>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</si>
  <si>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</si>
  <si>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</si>
  <si>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</si>
  <si>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</si>
  <si>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</si>
  <si>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</si>
  <si>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</si>
  <si>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</si>
  <si>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</si>
  <si>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</si>
  <si>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</si>
  <si>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</si>
  <si>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</si>
  <si>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</si>
  <si>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</si>
  <si>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</si>
  <si>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</si>
  <si>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</si>
  <si>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</si>
  <si>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</si>
  <si>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</si>
  <si>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</si>
  <si>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</si>
  <si>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</si>
  <si>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</si>
  <si>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</si>
  <si>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</si>
  <si>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</si>
  <si>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</si>
  <si>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</si>
  <si>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</si>
  <si>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</si>
  <si>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</si>
  <si>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</si>
  <si>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</si>
  <si>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</si>
  <si>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</si>
  <si>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</si>
  <si>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</si>
  <si>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</si>
  <si>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</si>
  <si>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</si>
  <si>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</si>
  <si>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</si>
  <si>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</si>
  <si>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</si>
  <si>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</si>
  <si>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</si>
  <si>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</si>
  <si>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</si>
  <si>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</si>
  <si>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</si>
  <si>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</si>
  <si>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</si>
  <si>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</si>
  <si>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</si>
  <si>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</si>
  <si>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</si>
  <si>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</si>
  <si>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</si>
  <si>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</si>
  <si>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</si>
  <si>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</si>
  <si>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</si>
  <si>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</si>
  <si>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</si>
  <si>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</si>
  <si>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</si>
  <si>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</si>
  <si>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</si>
  <si>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</si>
  <si>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</si>
  <si>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</si>
  <si>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</si>
  <si>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</si>
  <si>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</si>
  <si>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</si>
  <si>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</si>
  <si>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</si>
  <si>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</si>
  <si>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</si>
  <si>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</si>
  <si>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</si>
  <si>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</si>
  <si>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</si>
  <si>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</si>
  <si>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</si>
  <si>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</si>
  <si>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</si>
  <si>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</si>
  <si>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</si>
  <si>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</si>
  <si>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</si>
  <si>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</si>
  <si>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</si>
  <si>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</si>
  <si>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</si>
  <si>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</si>
  <si>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</si>
  <si>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</si>
  <si>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</si>
  <si>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</si>
  <si>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</si>
  <si>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</si>
  <si>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</si>
  <si>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</si>
  <si>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</si>
  <si>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</si>
  <si>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</si>
  <si>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</si>
  <si>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</si>
  <si>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</si>
  <si>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</si>
  <si>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</si>
  <si>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</si>
  <si>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</si>
  <si>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</si>
  <si>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</si>
  <si>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</si>
  <si>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</si>
  <si>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</si>
  <si>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</si>
  <si>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</si>
  <si>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</si>
  <si>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</si>
  <si>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</si>
  <si>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</si>
  <si>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</si>
  <si>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</si>
  <si>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</si>
  <si>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</si>
  <si>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</si>
  <si>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</si>
  <si>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</si>
  <si>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</si>
  <si>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</si>
  <si>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</si>
  <si>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</si>
  <si>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</si>
  <si>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</si>
  <si>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</si>
  <si>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</si>
  <si>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</si>
  <si>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</si>
  <si>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</si>
  <si>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</si>
  <si>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</si>
  <si>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</si>
  <si>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</si>
  <si>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</si>
  <si>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</si>
  <si>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</si>
  <si>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</si>
  <si>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</si>
  <si>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</si>
  <si>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</si>
  <si>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</si>
  <si>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</si>
  <si>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</si>
  <si>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</si>
  <si>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</si>
  <si>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</si>
  <si>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</si>
  <si>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</si>
  <si>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</si>
  <si>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</si>
  <si>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</si>
  <si>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</si>
  <si>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</si>
  <si>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</si>
  <si>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</si>
  <si>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</si>
  <si>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</si>
  <si>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</si>
  <si>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</si>
  <si>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</si>
  <si>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</si>
  <si>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</si>
  <si>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</si>
  <si>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</si>
  <si>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</si>
  <si>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</si>
  <si>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</si>
  <si>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</si>
  <si>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</si>
  <si>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</si>
  <si>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</si>
  <si>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</si>
  <si>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</si>
  <si>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</si>
  <si>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</si>
  <si>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</si>
  <si>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</si>
  <si>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</si>
  <si>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</si>
  <si>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</si>
  <si>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</si>
  <si>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</si>
  <si>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</si>
  <si>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</si>
  <si>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</si>
  <si>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</si>
  <si>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</si>
  <si>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</si>
  <si>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</si>
  <si>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</si>
  <si>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</si>
  <si>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</si>
  <si>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</si>
  <si>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</si>
  <si>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</si>
  <si>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</si>
  <si>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</si>
  <si>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</si>
  <si>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</si>
  <si>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</si>
  <si>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</si>
  <si>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</si>
  <si>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</si>
  <si>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</si>
  <si>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</si>
  <si>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</si>
  <si>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</si>
  <si>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</si>
  <si>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</si>
  <si>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</si>
  <si>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</si>
  <si>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</si>
  <si>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</si>
  <si>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</si>
  <si>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</si>
  <si>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</si>
  <si>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</si>
  <si>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</si>
  <si>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</si>
  <si>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</si>
  <si>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</si>
  <si>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</si>
  <si>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</si>
  <si>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</si>
  <si>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</si>
  <si>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</si>
  <si>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</si>
  <si>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</si>
  <si>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</si>
  <si>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</si>
  <si>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</si>
  <si>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</si>
  <si>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</si>
  <si>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</si>
  <si>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</si>
  <si>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</si>
  <si>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</si>
  <si>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</si>
  <si>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</si>
  <si>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</si>
  <si>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</si>
  <si>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</si>
  <si>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</si>
  <si>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</si>
  <si>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</si>
  <si>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</si>
  <si>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</si>
  <si>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</si>
  <si>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</si>
  <si>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</si>
  <si>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</si>
  <si>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</si>
  <si>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</si>
  <si>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</si>
  <si>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</si>
  <si>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</si>
  <si>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</si>
  <si>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</si>
  <si>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</si>
  <si>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</si>
  <si>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</si>
  <si>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</si>
  <si>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</si>
  <si>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</si>
  <si>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</si>
  <si>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</si>
  <si>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</si>
  <si>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</si>
  <si>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</si>
  <si>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</si>
  <si>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</si>
  <si>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</si>
  <si>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</si>
  <si>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</si>
  <si>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</si>
  <si>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</si>
  <si>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</si>
  <si>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</si>
  <si>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</si>
  <si>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</si>
  <si>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</si>
  <si>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</si>
  <si>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</si>
  <si>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</si>
  <si>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</si>
  <si>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</si>
  <si>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</si>
  <si>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</si>
  <si>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</si>
  <si>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</si>
  <si>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</si>
  <si>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</si>
  <si>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</si>
  <si>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</si>
  <si>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</si>
  <si>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</si>
  <si>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</si>
  <si>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</si>
  <si>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</si>
  <si>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</si>
  <si>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</si>
  <si>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</si>
  <si>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</si>
  <si>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</si>
  <si>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</si>
  <si>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</si>
  <si>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</si>
  <si>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</si>
  <si>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</si>
  <si>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</si>
  <si>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</si>
  <si>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</si>
  <si>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</si>
  <si>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</si>
  <si>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</si>
  <si>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</si>
  <si>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</si>
  <si>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</si>
  <si>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</si>
  <si>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</si>
  <si>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</si>
  <si>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</si>
  <si>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</si>
  <si>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</si>
  <si>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</si>
  <si>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</si>
  <si>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</si>
  <si>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</si>
  <si>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</si>
  <si>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</si>
  <si>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</si>
  <si>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</si>
  <si>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</si>
  <si>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</si>
  <si>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</si>
  <si>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</si>
  <si>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</si>
  <si>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</si>
  <si>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</si>
  <si>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</si>
  <si>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</si>
  <si>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</si>
  <si>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</si>
  <si>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</si>
  <si>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</si>
  <si>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</si>
  <si>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</si>
  <si>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</si>
  <si>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</si>
  <si>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</si>
  <si>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</si>
  <si>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</si>
  <si>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</si>
  <si>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</si>
  <si>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</si>
  <si>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</si>
  <si>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</si>
  <si>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</si>
  <si>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</si>
  <si>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</si>
  <si>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</si>
  <si>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</si>
  <si>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</si>
  <si>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</si>
  <si>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</si>
  <si>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</si>
  <si>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</si>
  <si>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</si>
  <si>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</si>
  <si>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</si>
  <si>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</si>
  <si>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</si>
  <si>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</si>
  <si>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</si>
  <si>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</si>
  <si>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</si>
  <si>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</si>
  <si>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</si>
  <si>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</si>
  <si>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</si>
  <si>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</si>
  <si>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</si>
  <si>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</si>
  <si>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</si>
  <si>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</si>
  <si>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</si>
  <si>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</si>
  <si>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</si>
  <si>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</si>
  <si>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</si>
  <si>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</si>
  <si>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</si>
  <si>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</si>
  <si>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</si>
  <si>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</si>
  <si>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</si>
  <si>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</si>
  <si>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</si>
  <si>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</si>
  <si>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</si>
  <si>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</si>
  <si>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</si>
  <si>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</si>
  <si>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</si>
  <si>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</si>
  <si>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</si>
  <si>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</si>
  <si>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</si>
  <si>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</si>
  <si>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</si>
  <si>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</si>
  <si>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</si>
  <si>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</si>
  <si>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</si>
  <si>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</si>
  <si>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</si>
  <si>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</si>
  <si>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</si>
  <si>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</si>
  <si>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</si>
  <si>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</si>
  <si>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</si>
  <si>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</si>
  <si>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</si>
  <si>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</si>
  <si>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</si>
  <si>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</si>
  <si>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</si>
  <si>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</si>
  <si>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</si>
  <si>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</si>
  <si>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</si>
  <si>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</si>
  <si>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</si>
  <si>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</si>
  <si>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</si>
  <si>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</si>
  <si>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</si>
  <si>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</si>
  <si>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</si>
  <si>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</si>
  <si>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</si>
  <si>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</si>
  <si>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</si>
  <si>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</si>
  <si>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</si>
  <si>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</si>
  <si>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</si>
  <si>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</si>
  <si>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</si>
  <si>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</si>
  <si>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</si>
  <si>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</si>
  <si>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</si>
  <si>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</si>
  <si>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</si>
  <si>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</si>
  <si>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</si>
  <si>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</si>
  <si>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</si>
  <si>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</si>
  <si>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</si>
  <si>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</si>
  <si>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</si>
  <si>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</si>
  <si>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</si>
  <si>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</si>
  <si>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</si>
  <si>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</si>
  <si>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</si>
  <si>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</si>
  <si>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</si>
  <si>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</si>
  <si>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</si>
  <si>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</si>
  <si>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</si>
  <si>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</si>
  <si>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</si>
  <si>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</si>
  <si>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</si>
  <si>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</si>
  <si>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</si>
  <si>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</si>
  <si>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</si>
  <si>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</si>
  <si>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</si>
  <si>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</si>
  <si>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</si>
  <si>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</si>
  <si>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</si>
  <si>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</si>
  <si>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</si>
  <si>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</si>
  <si>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</si>
  <si>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</si>
  <si>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</si>
  <si>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</si>
  <si>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</si>
  <si>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</si>
  <si>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</si>
  <si>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</si>
  <si>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</si>
  <si>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</si>
  <si>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</si>
  <si>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</si>
  <si>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</si>
  <si>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</si>
  <si>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</si>
  <si>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</si>
  <si>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</si>
  <si>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</si>
  <si>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</si>
  <si>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</si>
  <si>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</si>
  <si>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</si>
  <si>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</si>
  <si>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</si>
  <si>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</si>
  <si>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</si>
  <si>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</si>
  <si>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</si>
  <si>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</si>
  <si>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</si>
  <si>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</si>
  <si>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</si>
  <si>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</si>
  <si>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</si>
  <si>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</si>
  <si>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</si>
  <si>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</si>
  <si>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</si>
  <si>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</si>
  <si>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</si>
  <si>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</si>
  <si>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</si>
  <si>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</si>
  <si>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</si>
  <si>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</si>
  <si>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</si>
  <si>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</si>
  <si>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</si>
  <si>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</si>
  <si>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</si>
  <si>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</si>
  <si>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</si>
  <si>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</si>
  <si>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</si>
  <si>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</si>
  <si>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</si>
  <si>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</si>
  <si>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</si>
  <si>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</si>
  <si>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</si>
  <si>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</si>
  <si>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</si>
  <si>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</si>
  <si>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</si>
  <si>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</si>
  <si>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</si>
  <si>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</si>
  <si>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</si>
  <si>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</si>
  <si>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</si>
  <si>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</si>
  <si>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</si>
  <si>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</si>
  <si>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</si>
  <si>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</si>
  <si>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</si>
  <si>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</si>
  <si>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</si>
  <si>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</si>
  <si>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</si>
  <si>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</si>
  <si>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</si>
  <si>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</si>
  <si>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</si>
  <si>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</si>
  <si>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</si>
  <si>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</si>
  <si>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</si>
  <si>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</si>
  <si>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</si>
  <si>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</si>
  <si>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</si>
  <si>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</si>
  <si>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</si>
  <si>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</si>
  <si>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</si>
  <si>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</si>
  <si>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</si>
  <si>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</si>
  <si>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</si>
  <si>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</si>
  <si>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</si>
  <si>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</si>
  <si>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</si>
  <si>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</si>
  <si>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</si>
  <si>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</si>
  <si>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</si>
  <si>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</si>
  <si>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</si>
  <si>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</si>
  <si>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</si>
  <si>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</si>
  <si>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</si>
  <si>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</si>
  <si>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</si>
  <si>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</si>
  <si>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</si>
  <si>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</si>
  <si>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</si>
  <si>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</si>
  <si>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</si>
  <si>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</si>
  <si>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</si>
  <si>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</si>
  <si>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</si>
  <si>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</si>
  <si>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</si>
  <si>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</si>
  <si>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</si>
  <si>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</si>
  <si>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</si>
  <si>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</si>
  <si>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</si>
  <si>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</si>
  <si>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</si>
  <si>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</si>
  <si>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</si>
  <si>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</si>
  <si>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</si>
  <si>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</si>
  <si>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</si>
  <si>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</si>
  <si>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</si>
  <si>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</si>
  <si>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</si>
  <si>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</si>
  <si>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</si>
  <si>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</si>
  <si>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</si>
  <si>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</si>
  <si>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</si>
  <si>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</si>
  <si>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</si>
  <si>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</si>
  <si>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</si>
  <si>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</si>
  <si>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</si>
  <si>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</si>
  <si>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</si>
  <si>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</si>
  <si>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</si>
  <si>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</si>
  <si>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</si>
  <si>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</si>
  <si>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</si>
  <si>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</si>
  <si>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</si>
  <si>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</si>
  <si>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</si>
  <si>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</si>
  <si>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</si>
  <si>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</si>
  <si>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</si>
  <si>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</si>
  <si>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</si>
  <si>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</si>
  <si>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</si>
  <si>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</si>
  <si>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</si>
  <si>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</si>
  <si>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</si>
  <si>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</si>
  <si>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</si>
  <si>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</si>
  <si>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</si>
  <si>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</si>
  <si>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</si>
  <si>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</si>
  <si>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</si>
  <si>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</si>
  <si>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</si>
  <si>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</si>
  <si>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</si>
  <si>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</si>
  <si>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</si>
  <si>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</si>
  <si>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</si>
  <si>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</si>
  <si>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</si>
  <si>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</si>
  <si>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</si>
  <si>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</si>
  <si>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</si>
  <si>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</si>
  <si>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</si>
  <si>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</si>
  <si>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</si>
  <si>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</si>
  <si>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</si>
  <si>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</si>
  <si>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</si>
  <si>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</si>
  <si>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</si>
  <si>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</si>
  <si>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</si>
  <si>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</si>
  <si>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</si>
  <si>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</si>
  <si>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</si>
  <si>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</si>
  <si>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</si>
  <si>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</si>
  <si>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</si>
  <si>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</si>
  <si>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</si>
  <si>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</si>
  <si>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</si>
  <si>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</si>
  <si>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</si>
  <si>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</si>
  <si>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</si>
  <si>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</si>
  <si>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</si>
  <si>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</si>
  <si>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</si>
  <si>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</si>
  <si>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</si>
  <si>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</si>
  <si>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</si>
  <si>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</si>
  <si>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</si>
  <si>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</si>
  <si>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</si>
  <si>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</si>
  <si>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</si>
  <si>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</si>
  <si>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</si>
  <si>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</si>
  <si>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</si>
  <si>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</si>
  <si>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</si>
  <si>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</si>
  <si>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</si>
  <si>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</si>
  <si>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</si>
  <si>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</si>
  <si>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</si>
  <si>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</si>
  <si>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</si>
  <si>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</si>
  <si>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</si>
  <si>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</si>
  <si>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</si>
  <si>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</si>
  <si>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</si>
  <si>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</si>
  <si>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</si>
  <si>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</si>
  <si>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</si>
  <si>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</si>
  <si>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</si>
  <si>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</si>
  <si>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</si>
  <si>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</si>
  <si>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</si>
  <si>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</si>
  <si>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</si>
  <si>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</si>
  <si>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</si>
  <si>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</si>
  <si>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</si>
  <si>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</si>
  <si>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</si>
  <si>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</si>
  <si>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</si>
  <si>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</si>
  <si>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</si>
  <si>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</si>
  <si>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</si>
  <si>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</si>
  <si>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</si>
  <si>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</si>
  <si>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</si>
  <si>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</si>
  <si>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</si>
  <si>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</si>
  <si>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</si>
  <si>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</si>
  <si>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</si>
  <si>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</si>
  <si>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</si>
  <si>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</si>
  <si>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</si>
  <si>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</si>
  <si>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</si>
  <si>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</si>
  <si>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</si>
  <si>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</si>
  <si>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</si>
  <si>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</si>
  <si>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</si>
  <si>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</si>
  <si>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</si>
  <si>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</si>
  <si>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</si>
  <si>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</si>
  <si>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</si>
  <si>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</si>
  <si>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</si>
  <si>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</si>
  <si>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</si>
  <si>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</si>
  <si>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</si>
  <si>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</si>
  <si>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</si>
  <si>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</si>
  <si>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</si>
  <si>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</si>
  <si>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</si>
  <si>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</si>
  <si>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</si>
  <si>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</si>
  <si>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</si>
  <si>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</si>
  <si>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</si>
  <si>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</si>
  <si>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</si>
  <si>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</si>
  <si>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</si>
  <si>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</si>
  <si>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</si>
  <si>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</si>
  <si>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</si>
  <si>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</si>
  <si>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</si>
  <si>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</si>
  <si>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</si>
  <si>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</si>
  <si>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</si>
  <si>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</si>
  <si>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</si>
  <si>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</si>
  <si>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</si>
  <si>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</si>
  <si>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</si>
  <si>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</si>
  <si>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</si>
  <si>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</si>
  <si>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</si>
  <si>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</si>
  <si>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</si>
  <si>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</si>
  <si>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</si>
  <si>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</si>
  <si>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</si>
  <si>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</si>
  <si>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</si>
  <si>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</si>
  <si>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</si>
  <si>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</si>
  <si>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</si>
  <si>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</si>
  <si>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</si>
  <si>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</si>
  <si>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</si>
  <si>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</si>
  <si>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</si>
  <si>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</si>
  <si>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</si>
  <si>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</si>
  <si>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</si>
  <si>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</si>
  <si>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</si>
  <si>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</si>
  <si>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</si>
  <si>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</si>
  <si>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</si>
  <si>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</si>
  <si>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</si>
  <si>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</si>
  <si>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</si>
  <si>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</si>
  <si>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</si>
  <si>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</si>
  <si>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</si>
  <si>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</si>
  <si>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</si>
  <si>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</si>
  <si>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</si>
  <si>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</si>
  <si>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</si>
  <si>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</si>
  <si>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</si>
  <si>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</si>
  <si>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</si>
  <si>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</si>
  <si>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</si>
  <si>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</si>
  <si>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</si>
  <si>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</si>
  <si>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</si>
  <si>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</si>
  <si>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</si>
  <si>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</si>
  <si>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</si>
  <si>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</si>
  <si>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</si>
  <si>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</si>
  <si>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</si>
  <si>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</si>
  <si>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</si>
  <si>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</si>
  <si>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</si>
  <si>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</si>
  <si>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</si>
  <si>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</si>
  <si>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</si>
  <si>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</si>
  <si>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</si>
  <si>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</si>
  <si>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</si>
  <si>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</si>
  <si>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</si>
  <si>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</si>
  <si>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</si>
  <si>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</si>
  <si>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</si>
  <si>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</si>
  <si>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</si>
  <si>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</si>
  <si>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</si>
  <si>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</si>
  <si>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</si>
  <si>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</si>
  <si>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</si>
  <si>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</si>
  <si>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</si>
  <si>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</si>
  <si>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</si>
  <si>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</si>
  <si>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</si>
  <si>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</si>
  <si>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</si>
  <si>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</si>
  <si>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</si>
  <si>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</si>
  <si>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</si>
  <si>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</si>
  <si>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</si>
  <si>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</si>
  <si>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</si>
  <si>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</si>
  <si>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</si>
  <si>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</si>
  <si>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</si>
  <si>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</si>
  <si>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</si>
  <si>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</si>
  <si>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</si>
  <si>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</si>
  <si>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</si>
  <si>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</si>
  <si>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</si>
  <si>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</si>
  <si>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</si>
  <si>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</si>
  <si>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</si>
  <si>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</si>
  <si>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</si>
  <si>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</si>
  <si>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</si>
  <si>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</si>
  <si>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</si>
  <si>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</si>
  <si>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</si>
  <si>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</si>
  <si>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</si>
  <si>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</si>
  <si>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</si>
  <si>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</si>
  <si>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</si>
  <si>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</si>
  <si>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</si>
  <si>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</si>
  <si>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</si>
  <si>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</si>
  <si>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</si>
  <si>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</si>
  <si>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</si>
  <si>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</si>
  <si>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</si>
  <si>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</si>
  <si>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</si>
  <si>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</si>
  <si>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</si>
  <si>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</si>
  <si>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</si>
  <si>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</si>
  <si>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</si>
  <si>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</si>
  <si>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</si>
  <si>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</si>
  <si>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</si>
  <si>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</si>
  <si>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</si>
  <si>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</si>
  <si>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</si>
  <si>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</si>
  <si>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</si>
  <si>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</si>
  <si>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</si>
  <si>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</si>
  <si>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</si>
  <si>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</si>
  <si>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</si>
  <si>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</si>
  <si>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</si>
  <si>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</si>
  <si>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</si>
  <si>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</si>
  <si>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</si>
  <si>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</si>
  <si>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</si>
  <si>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</si>
  <si>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</si>
  <si>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</si>
  <si>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</si>
  <si>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</si>
  <si>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</si>
  <si>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</si>
  <si>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</si>
  <si>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</si>
  <si>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</si>
  <si>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</si>
  <si>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</si>
  <si>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</si>
  <si>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</si>
  <si>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</si>
  <si>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</si>
  <si>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</si>
  <si>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</si>
  <si>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</si>
  <si>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</si>
  <si>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</si>
  <si>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</si>
  <si>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</si>
  <si>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</si>
  <si>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</si>
  <si>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</si>
  <si>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</si>
  <si>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</si>
  <si>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</si>
  <si>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</si>
  <si>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</si>
  <si>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</si>
  <si>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</si>
  <si>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</si>
  <si>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</si>
  <si>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</si>
  <si>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</si>
  <si>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</si>
  <si>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</si>
  <si>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</si>
  <si>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</si>
  <si>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</si>
  <si>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</si>
  <si>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</si>
  <si>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</si>
  <si>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</si>
  <si>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</si>
  <si>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</si>
  <si>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</si>
  <si>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</si>
  <si>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</si>
  <si>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</si>
  <si>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</si>
  <si>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</si>
  <si>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</si>
  <si>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</si>
  <si>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</si>
  <si>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</si>
  <si>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</si>
  <si>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</si>
  <si>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</si>
  <si>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</si>
  <si>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</si>
  <si>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</si>
  <si>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</si>
  <si>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</si>
  <si>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</si>
  <si>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</si>
  <si>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</si>
  <si>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</si>
  <si>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</si>
  <si>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</si>
  <si>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</si>
  <si>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</si>
  <si>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</si>
  <si>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</si>
  <si>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</si>
  <si>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</si>
  <si>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</si>
  <si>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</si>
  <si>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</si>
  <si>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</si>
  <si>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</si>
  <si>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</si>
  <si>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</si>
  <si>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</si>
  <si>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</si>
  <si>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</si>
  <si>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</si>
  <si>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</si>
  <si>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</si>
  <si>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</si>
  <si>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</si>
  <si>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</si>
  <si>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</si>
  <si>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</si>
  <si>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</si>
  <si>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</si>
  <si>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</si>
  <si>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</si>
  <si>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</si>
  <si>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</si>
  <si>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</si>
  <si>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</si>
  <si>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</si>
  <si>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</si>
  <si>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</si>
  <si>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</si>
  <si>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</si>
  <si>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</si>
  <si>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</si>
  <si>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</si>
  <si>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</si>
  <si>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</si>
  <si>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</si>
  <si>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</si>
  <si>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</si>
  <si>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</si>
  <si>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</si>
  <si>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</si>
  <si>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</si>
  <si>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</si>
  <si>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</si>
  <si>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</si>
  <si>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</si>
  <si>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</si>
  <si>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</si>
  <si>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</si>
  <si>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</si>
  <si>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</si>
  <si>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</si>
  <si>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</si>
  <si>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</si>
  <si>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</si>
  <si>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</si>
  <si>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</si>
  <si>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</si>
  <si>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</si>
  <si>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</si>
  <si>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</si>
  <si>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</si>
  <si>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</si>
  <si>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</si>
  <si>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</si>
  <si>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</si>
  <si>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</si>
  <si>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</si>
  <si>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</si>
  <si>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</si>
  <si>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</si>
  <si>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</si>
  <si>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</si>
  <si>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</si>
  <si>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</si>
  <si>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</si>
  <si>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</si>
  <si>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</si>
  <si>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</si>
  <si>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</si>
  <si>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</si>
  <si>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</si>
  <si>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</si>
  <si>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</si>
  <si>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</si>
  <si>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</si>
  <si>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</si>
  <si>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</si>
  <si>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</si>
  <si>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</si>
  <si>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</si>
  <si>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</si>
  <si>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</si>
  <si>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</si>
  <si>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</si>
  <si>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</si>
  <si>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</si>
  <si>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</si>
  <si>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</si>
  <si>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</si>
  <si>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</si>
  <si>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</si>
  <si>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</si>
  <si>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</si>
  <si>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</si>
  <si>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</si>
  <si>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</si>
  <si>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</si>
  <si>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</si>
  <si>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</si>
  <si>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</si>
  <si>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</si>
  <si>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</si>
  <si>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</si>
  <si>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</si>
  <si>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</si>
  <si>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</si>
  <si>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</si>
  <si>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</si>
  <si>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</si>
  <si>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</si>
  <si>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</si>
  <si>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</si>
  <si>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</si>
  <si>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</si>
  <si>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</si>
  <si>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</si>
  <si>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</si>
  <si>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</si>
  <si>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</si>
  <si>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</si>
  <si>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</si>
  <si>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</si>
  <si>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</si>
  <si>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</si>
  <si>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</si>
  <si>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</si>
  <si>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</si>
  <si>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</si>
  <si>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</si>
  <si>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</si>
  <si>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</si>
  <si>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</si>
  <si>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</si>
  <si>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</si>
  <si>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</si>
  <si>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</si>
  <si>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</si>
  <si>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</si>
  <si>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</si>
  <si>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</si>
  <si>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</si>
  <si>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</si>
  <si>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</si>
  <si>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</si>
  <si>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</si>
  <si>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</si>
  <si>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</si>
  <si>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</si>
  <si>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</si>
  <si>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</si>
  <si>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</si>
  <si>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</si>
  <si>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</si>
  <si>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</si>
  <si>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</si>
  <si>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</si>
  <si>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</si>
  <si>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</si>
  <si>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</si>
  <si>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</si>
  <si>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</si>
  <si>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</si>
  <si>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</si>
  <si>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</si>
  <si>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</si>
  <si>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</si>
  <si>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</si>
  <si>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</si>
  <si>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</si>
  <si>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</si>
  <si>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</si>
  <si>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</si>
  <si>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</si>
  <si>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</si>
  <si>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</si>
  <si>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</si>
  <si>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</si>
  <si>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</si>
  <si>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</si>
  <si>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</si>
  <si>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</si>
  <si>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</si>
  <si>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</si>
  <si>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</si>
  <si>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</si>
  <si>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</si>
  <si>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</si>
  <si>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</si>
  <si>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</si>
  <si>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</si>
  <si>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</si>
  <si>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</si>
  <si>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</si>
  <si>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</si>
  <si>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</si>
  <si>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</si>
  <si>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</si>
  <si>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</si>
  <si>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</si>
  <si>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</si>
  <si>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</si>
  <si>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</si>
  <si>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</si>
  <si>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</si>
  <si>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</si>
  <si>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</si>
  <si>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</si>
  <si>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</si>
  <si>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</si>
  <si>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</si>
  <si>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</si>
  <si>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</si>
  <si>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</si>
  <si>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</si>
  <si>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</si>
  <si>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</si>
  <si>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</si>
  <si>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</si>
  <si>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</si>
  <si>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</si>
  <si>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</si>
  <si>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</si>
  <si>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</si>
  <si>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</si>
  <si>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</si>
  <si>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</si>
  <si>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</si>
  <si>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</si>
  <si>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</si>
  <si>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</si>
  <si>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</si>
  <si>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</si>
  <si>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</si>
  <si>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</si>
  <si>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</si>
  <si>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</si>
  <si>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</si>
  <si>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</si>
  <si>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</si>
  <si>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</si>
  <si>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</si>
  <si>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</si>
  <si>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</si>
  <si>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</si>
  <si>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</si>
  <si>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</si>
  <si>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</si>
  <si>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</si>
  <si>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</si>
  <si>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</si>
  <si>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</si>
  <si>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</si>
  <si>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</si>
  <si>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</si>
  <si>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</si>
  <si>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</si>
  <si>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</si>
  <si>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</si>
  <si>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</si>
  <si>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</si>
  <si>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</si>
  <si>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</si>
  <si>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</si>
  <si>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</si>
  <si>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</si>
  <si>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</si>
  <si>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</si>
  <si>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</si>
  <si>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</si>
  <si>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</si>
  <si>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</si>
  <si>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</si>
  <si>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</si>
  <si>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</si>
  <si>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</si>
  <si>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</si>
  <si>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</si>
  <si>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</si>
  <si>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</si>
  <si>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</si>
  <si>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</si>
  <si>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</si>
  <si>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</si>
  <si>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</si>
  <si>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</si>
  <si>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</si>
  <si>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</si>
  <si>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</si>
  <si>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</si>
  <si>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</si>
  <si>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</si>
  <si>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</si>
  <si>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</si>
  <si>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</si>
  <si>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</si>
  <si>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</si>
  <si>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</si>
  <si>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</si>
  <si>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</si>
  <si>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</si>
  <si>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</si>
  <si>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</si>
  <si>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</si>
  <si>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</si>
  <si>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</si>
  <si>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</si>
  <si>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</si>
  <si>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</si>
  <si>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</si>
  <si>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</si>
  <si>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</si>
  <si>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</si>
  <si>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</si>
  <si>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</si>
  <si>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</si>
  <si>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</si>
  <si>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</si>
  <si>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</si>
  <si>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</si>
  <si>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</si>
  <si>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</si>
  <si>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</si>
  <si>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</si>
  <si>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</si>
  <si>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</si>
  <si>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</si>
  <si>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</si>
  <si>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</si>
  <si>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</si>
  <si>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</si>
  <si>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</si>
  <si>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</si>
  <si>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</si>
  <si>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</si>
  <si>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</si>
  <si>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</si>
  <si>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</si>
  <si>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</si>
  <si>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</si>
  <si>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</si>
  <si>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</si>
  <si>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</si>
  <si>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</si>
  <si>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</si>
  <si>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</si>
  <si>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</si>
  <si>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</si>
  <si>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</si>
  <si>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</si>
  <si>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</si>
  <si>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</si>
  <si>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</si>
  <si>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</si>
  <si>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</si>
  <si>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</si>
  <si>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</si>
  <si>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</si>
  <si>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</si>
  <si>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</si>
  <si>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</si>
  <si>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</si>
  <si>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</si>
  <si>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</si>
  <si>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</si>
  <si>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</si>
  <si>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</si>
  <si>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</si>
  <si>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</si>
  <si>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</si>
  <si>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</si>
  <si>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</si>
  <si>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</si>
  <si>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</si>
  <si>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</si>
  <si>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</si>
  <si>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</si>
  <si>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</si>
  <si>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</si>
  <si>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</si>
  <si>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</si>
  <si>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</si>
  <si>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</si>
  <si>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</si>
  <si>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</si>
  <si>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</si>
  <si>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</si>
  <si>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</si>
  <si>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</si>
  <si>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</si>
  <si>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</si>
  <si>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</si>
  <si>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</si>
  <si>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</si>
  <si>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</si>
  <si>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</si>
  <si>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</si>
  <si>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</si>
  <si>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</si>
  <si>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</si>
  <si>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</si>
  <si>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</si>
  <si>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</si>
  <si>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</si>
  <si>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</si>
  <si>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</si>
  <si>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</si>
  <si>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</si>
  <si>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</si>
  <si>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</si>
  <si>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</si>
  <si>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</si>
  <si>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</si>
  <si>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</si>
  <si>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</si>
  <si>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</si>
  <si>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</si>
  <si>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</si>
  <si>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</si>
  <si>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</si>
  <si>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</si>
  <si>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</si>
  <si>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</si>
  <si>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</si>
  <si>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</si>
  <si>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</si>
  <si>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</si>
  <si>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</si>
  <si>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</si>
  <si>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</si>
  <si>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</si>
  <si>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</si>
  <si>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</si>
  <si>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</si>
  <si>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</si>
  <si>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</si>
  <si>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</si>
  <si>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</si>
  <si>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</si>
  <si>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</si>
  <si>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</si>
  <si>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</si>
  <si>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</si>
  <si>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</si>
  <si>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</si>
  <si>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</si>
  <si>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</si>
  <si>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</si>
  <si>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</si>
  <si>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</si>
  <si>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</si>
  <si>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</si>
  <si>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</si>
  <si>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</si>
  <si>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</si>
  <si>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</si>
  <si>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</si>
  <si>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</si>
  <si>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</si>
  <si>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</si>
  <si>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</si>
  <si>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</si>
  <si>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</si>
  <si>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</si>
  <si>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</si>
  <si>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</si>
  <si>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</si>
  <si>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</si>
  <si>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</si>
  <si>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</si>
  <si>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</si>
  <si>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</si>
  <si>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</si>
  <si>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</si>
  <si>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</si>
  <si>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</si>
  <si>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</si>
  <si>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</si>
  <si>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</si>
  <si>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</si>
  <si>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</si>
  <si>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</si>
  <si>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</si>
  <si>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</si>
  <si>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</si>
  <si>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</si>
  <si>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</si>
  <si>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</si>
  <si>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</si>
  <si>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</si>
  <si>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</si>
  <si>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</si>
  <si>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</si>
  <si>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</si>
  <si>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</si>
  <si>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</si>
  <si>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</si>
  <si>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</si>
  <si>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</si>
  <si>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</si>
  <si>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</si>
  <si>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</si>
  <si>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</si>
  <si>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</si>
  <si>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</si>
  <si>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</si>
  <si>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</si>
  <si>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</si>
  <si>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</si>
  <si>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</si>
  <si>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</si>
  <si>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</si>
  <si>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</si>
  <si>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</si>
  <si>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</si>
  <si>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</si>
  <si>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</si>
  <si>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</si>
  <si>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</si>
  <si>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</si>
  <si>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</si>
  <si>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</si>
  <si>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</si>
  <si>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</si>
  <si>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</si>
  <si>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</si>
  <si>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</si>
  <si>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</si>
  <si>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</si>
  <si>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</si>
  <si>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</si>
  <si>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</si>
  <si>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</si>
  <si>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</si>
  <si>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</si>
  <si>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</si>
  <si>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</si>
  <si>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</si>
  <si>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</si>
  <si>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</si>
  <si>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</si>
  <si>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</si>
  <si>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</si>
  <si>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</si>
  <si>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</si>
  <si>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</si>
  <si>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</si>
  <si>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</si>
  <si>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</si>
  <si>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</si>
  <si>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</si>
  <si>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</si>
  <si>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</si>
  <si>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</si>
  <si>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</si>
  <si>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</si>
  <si>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</si>
  <si>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</si>
  <si>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</si>
  <si>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</si>
  <si>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</si>
  <si>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</si>
  <si>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</si>
  <si>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</si>
  <si>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</si>
  <si>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</si>
  <si>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</si>
  <si>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</si>
  <si>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</si>
  <si>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</si>
  <si>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</si>
  <si>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</si>
  <si>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</si>
  <si>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</si>
  <si>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</si>
  <si>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</si>
  <si>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</si>
  <si>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</si>
  <si>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</si>
  <si>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</si>
  <si>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</si>
  <si>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</si>
  <si>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</si>
  <si>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</si>
  <si>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</si>
  <si>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</si>
  <si>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</si>
  <si>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</si>
  <si>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</si>
  <si>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</si>
  <si>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</si>
  <si>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</si>
  <si>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</si>
  <si>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</si>
  <si>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</si>
  <si>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</si>
  <si>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</si>
  <si>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</si>
  <si>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</si>
  <si>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</si>
  <si>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</si>
  <si>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</si>
  <si>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</si>
  <si>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</si>
  <si>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</si>
  <si>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</si>
  <si>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</si>
  <si>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</si>
  <si>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</si>
  <si>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</si>
  <si>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</si>
  <si>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</si>
  <si>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</si>
  <si>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</si>
  <si>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</si>
  <si>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</si>
  <si>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</si>
  <si>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</si>
  <si>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</si>
  <si>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</si>
  <si>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</si>
  <si>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</si>
  <si>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</si>
  <si>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</si>
  <si>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</si>
  <si>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</si>
  <si>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</si>
  <si>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</si>
  <si>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</si>
  <si>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</si>
  <si>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</si>
  <si>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</si>
  <si>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</si>
  <si>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</si>
  <si>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</si>
  <si>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</si>
  <si>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</si>
  <si>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</si>
  <si>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</si>
  <si>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</si>
  <si>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</si>
  <si>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</si>
  <si>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</si>
  <si>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</si>
  <si>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</si>
  <si>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</si>
  <si>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</si>
  <si>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</si>
  <si>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</si>
  <si>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</si>
  <si>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</si>
  <si>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</si>
  <si>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</si>
  <si>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</si>
  <si>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</si>
  <si>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</si>
  <si>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</si>
  <si>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</si>
  <si>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</si>
  <si>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</si>
  <si>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</si>
  <si>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</si>
  <si>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</si>
  <si>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</si>
  <si>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</si>
  <si>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</si>
  <si>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</si>
  <si>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</si>
  <si>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</si>
  <si>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</si>
  <si>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</si>
  <si>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</si>
  <si>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</si>
  <si>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</si>
  <si>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</si>
  <si>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</si>
  <si>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</si>
  <si>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</si>
  <si>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</si>
  <si>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</si>
  <si>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</si>
  <si>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</si>
  <si>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</si>
  <si>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</si>
  <si>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</si>
  <si>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</si>
  <si>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</si>
  <si>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</si>
  <si>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</si>
  <si>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</si>
  <si>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</si>
  <si>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</si>
  <si>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</si>
  <si>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</si>
  <si>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</si>
  <si>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</si>
  <si>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</si>
  <si>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</si>
  <si>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</si>
  <si>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</si>
  <si>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</si>
  <si>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</si>
  <si>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</si>
  <si>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</si>
  <si>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</si>
  <si>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</si>
  <si>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</si>
  <si>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</si>
  <si>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</si>
  <si>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</si>
  <si>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</si>
  <si>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</si>
  <si>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</si>
  <si>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</si>
  <si>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</si>
  <si>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</si>
  <si>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</si>
  <si>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</si>
  <si>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</si>
  <si>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</si>
  <si>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</si>
  <si>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</si>
  <si>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</si>
  <si>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</si>
  <si>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</si>
  <si>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</si>
  <si>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</si>
  <si>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</si>
  <si>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</si>
  <si>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</si>
  <si>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</si>
  <si>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</si>
  <si>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</si>
  <si>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</si>
  <si>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</si>
  <si>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</si>
  <si>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</si>
  <si>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</si>
  <si>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</si>
  <si>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</si>
  <si>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</si>
  <si>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</si>
  <si>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</si>
  <si>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</si>
  <si>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</si>
  <si>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</si>
  <si>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</si>
  <si>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</si>
  <si>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</si>
  <si>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</si>
  <si>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</si>
  <si>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</si>
  <si>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</si>
  <si>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</si>
  <si>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</si>
  <si>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</si>
  <si>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</si>
  <si>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</si>
  <si>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</si>
  <si>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</si>
  <si>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</si>
  <si>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</si>
  <si>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</si>
  <si>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</si>
  <si>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</si>
  <si>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</si>
  <si>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</si>
  <si>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</si>
  <si>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</si>
  <si>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</si>
  <si>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</si>
  <si>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</si>
  <si>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</si>
  <si>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</si>
  <si>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</si>
  <si>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</si>
  <si>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</si>
  <si>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</si>
  <si>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</si>
  <si>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</si>
  <si>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</si>
  <si>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</si>
  <si>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</si>
  <si>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</si>
  <si>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</si>
  <si>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</si>
  <si>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</si>
  <si>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</si>
  <si>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</si>
  <si>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</si>
  <si>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</si>
  <si>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</si>
  <si>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</si>
  <si>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</si>
  <si>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</si>
  <si>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</si>
  <si>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</si>
  <si>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</si>
  <si>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</si>
  <si>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</si>
  <si>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</si>
  <si>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</si>
  <si>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</si>
  <si>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</si>
  <si>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</si>
  <si>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</si>
  <si>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</si>
  <si>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</si>
  <si>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</si>
  <si>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</si>
  <si>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</si>
  <si>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</si>
  <si>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</si>
  <si>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</si>
  <si>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</si>
  <si>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</si>
  <si>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</si>
  <si>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</si>
  <si>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</si>
  <si>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</si>
  <si>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</si>
  <si>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</si>
  <si>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</si>
  <si>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</si>
  <si>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</si>
  <si>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</si>
  <si>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</si>
  <si>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</si>
  <si>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</si>
  <si>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</si>
  <si>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</si>
  <si>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</si>
  <si>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</si>
  <si>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</si>
  <si>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</si>
  <si>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</si>
  <si>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</si>
  <si>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</si>
  <si>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</si>
  <si>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</si>
  <si>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</si>
  <si>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</si>
  <si>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</si>
  <si>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</si>
  <si>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</si>
  <si>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</si>
  <si>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</si>
  <si>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</si>
  <si>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</si>
  <si>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</si>
  <si>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</si>
  <si>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</si>
  <si>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</si>
  <si>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</si>
  <si>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</si>
  <si>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</si>
  <si>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</si>
  <si>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</si>
  <si>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</si>
  <si>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</si>
  <si>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</si>
  <si>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</si>
  <si>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</si>
  <si>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</si>
  <si>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</si>
  <si>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</si>
  <si>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</si>
  <si>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</si>
  <si>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</si>
  <si>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</si>
  <si>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</si>
  <si>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</si>
  <si>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</si>
  <si>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</si>
  <si>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</si>
  <si>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</si>
  <si>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</si>
  <si>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</si>
  <si>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</si>
  <si>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</si>
  <si>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</si>
  <si>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</si>
  <si>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</si>
  <si>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</si>
  <si>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</si>
  <si>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</si>
  <si>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</si>
  <si>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</si>
  <si>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</si>
  <si>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</si>
  <si>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</si>
  <si>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</si>
  <si>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</si>
  <si>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</si>
  <si>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</si>
  <si>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</si>
  <si>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</si>
  <si>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</si>
  <si>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</si>
  <si>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</si>
  <si>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</si>
  <si>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</si>
  <si>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</si>
  <si>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</si>
  <si>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</si>
  <si>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</si>
  <si>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</si>
  <si>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</si>
  <si>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</si>
  <si>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</si>
  <si>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</si>
  <si>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</si>
  <si>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</si>
  <si>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</si>
  <si>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</si>
  <si>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</si>
  <si>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</si>
  <si>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</si>
  <si>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</si>
  <si>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</si>
  <si>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</si>
  <si>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</si>
  <si>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</si>
  <si>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</si>
  <si>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</si>
  <si>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</si>
  <si>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</si>
  <si>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</si>
  <si>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</si>
  <si>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</si>
  <si>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</si>
  <si>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</si>
  <si>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</si>
  <si>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</si>
  <si>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</si>
  <si>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</si>
  <si>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</si>
  <si>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</si>
  <si>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</si>
  <si>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</si>
  <si>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</si>
  <si>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</si>
  <si>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</si>
  <si>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</si>
  <si>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</si>
  <si>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</si>
  <si>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</si>
  <si>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</si>
  <si>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</si>
  <si>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</si>
  <si>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</si>
  <si>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</si>
  <si>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</si>
  <si>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</si>
  <si>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</si>
  <si>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</si>
  <si>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</si>
  <si>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</si>
  <si>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</si>
  <si>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</si>
  <si>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</si>
  <si>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</si>
  <si>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</si>
  <si>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</si>
  <si>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</si>
  <si>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</si>
  <si>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</si>
  <si>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</si>
  <si>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</si>
  <si>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</si>
  <si>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</si>
  <si>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</si>
  <si>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</si>
  <si>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</si>
  <si>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</si>
  <si>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</si>
  <si>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</si>
  <si>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</si>
  <si>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</si>
  <si>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</si>
  <si>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</si>
  <si>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</si>
  <si>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</si>
  <si>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</si>
  <si>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</si>
  <si>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</si>
  <si>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</si>
  <si>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</si>
  <si>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</si>
  <si>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</si>
  <si>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</si>
  <si>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</si>
  <si>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</si>
  <si>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</si>
  <si>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</si>
  <si>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</si>
  <si>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</si>
  <si>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</si>
  <si>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</si>
  <si>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</si>
  <si>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</si>
  <si>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</si>
  <si>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</si>
  <si>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</si>
  <si>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</si>
  <si>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</si>
  <si>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</si>
  <si>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</si>
  <si>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</si>
  <si>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</si>
  <si>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</si>
  <si>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</si>
  <si>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</si>
  <si>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</si>
  <si>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</si>
  <si>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</si>
  <si>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</si>
  <si>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</si>
  <si>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</si>
  <si>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</si>
  <si>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</si>
  <si>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</si>
  <si>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</si>
  <si>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</si>
  <si>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</si>
  <si>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</si>
  <si>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</si>
  <si>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</si>
  <si>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</si>
  <si>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</si>
  <si>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</si>
  <si>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</si>
  <si>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</si>
  <si>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</si>
  <si>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</si>
  <si>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</si>
  <si>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</si>
  <si>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</si>
  <si>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</si>
  <si>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</si>
  <si>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</si>
  <si>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</si>
  <si>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</si>
  <si>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</si>
  <si>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</si>
  <si>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</si>
  <si>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</si>
  <si>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</si>
  <si>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</si>
  <si>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</si>
  <si>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</si>
  <si>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</si>
  <si>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</si>
  <si>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</si>
  <si>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</si>
  <si>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</si>
  <si>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</si>
  <si>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</si>
  <si>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</si>
  <si>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</si>
  <si>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</si>
  <si>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</si>
  <si>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</si>
  <si>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</si>
  <si>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</si>
  <si>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</si>
  <si>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</si>
  <si>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</si>
  <si>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</si>
  <si>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</si>
  <si>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</si>
  <si>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</si>
  <si>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</si>
  <si>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</si>
  <si>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</si>
  <si>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</si>
  <si>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</si>
  <si>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</si>
  <si>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</si>
  <si>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</si>
  <si>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</si>
  <si>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</si>
  <si>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</si>
  <si>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</si>
  <si>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</si>
  <si>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</si>
  <si>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</si>
  <si>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</si>
  <si>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</si>
  <si>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</si>
  <si>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</si>
  <si>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</si>
  <si>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</si>
  <si>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</si>
  <si>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</si>
  <si>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</si>
  <si>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</si>
  <si>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</si>
  <si>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</si>
  <si>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</si>
  <si>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</si>
  <si>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</si>
  <si>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</si>
  <si>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</si>
  <si>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</si>
  <si>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</si>
  <si>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</si>
  <si>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</si>
  <si>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</si>
  <si>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</si>
  <si>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</si>
  <si>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</si>
  <si>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</si>
  <si>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</si>
  <si>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</si>
  <si>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</si>
  <si>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</si>
  <si>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</si>
  <si>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</si>
  <si>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</si>
  <si>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</si>
  <si>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</si>
  <si>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</si>
  <si>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</si>
  <si>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</si>
  <si>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</si>
  <si>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</si>
  <si>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</si>
  <si>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</si>
  <si>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</si>
  <si>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</si>
  <si>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</si>
  <si>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</si>
  <si>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</si>
  <si>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</si>
  <si>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</si>
  <si>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</si>
  <si>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</si>
  <si>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</si>
  <si>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</si>
  <si>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</si>
  <si>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</si>
  <si>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</si>
  <si>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</si>
  <si>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</si>
  <si>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</si>
  <si>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</si>
  <si>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</si>
  <si>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</si>
  <si>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</si>
  <si>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</si>
  <si>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</si>
  <si>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</si>
  <si>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</si>
  <si>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</si>
  <si>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</si>
  <si>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</si>
  <si>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</si>
  <si>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</si>
  <si>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</si>
  <si>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</si>
  <si>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</si>
  <si>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</si>
  <si>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</si>
  <si>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</si>
  <si>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</si>
  <si>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</si>
  <si>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</si>
  <si>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</si>
  <si>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</si>
  <si>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</si>
  <si>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</si>
  <si>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</si>
  <si>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</si>
  <si>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</si>
  <si>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</si>
  <si>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</si>
  <si>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</si>
  <si>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</si>
  <si>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</si>
  <si>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</si>
  <si>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</si>
  <si>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</si>
  <si>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</si>
  <si>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</si>
  <si>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</si>
  <si>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</si>
  <si>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</si>
  <si>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</si>
  <si>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</si>
  <si>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</si>
  <si>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</si>
  <si>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</si>
  <si>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</si>
  <si>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</si>
  <si>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</si>
  <si>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</si>
  <si>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</si>
  <si>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</si>
  <si>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</si>
  <si>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</si>
  <si>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</si>
  <si>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</si>
  <si>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</si>
  <si>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</si>
  <si>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</si>
  <si>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</si>
  <si>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</si>
  <si>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</si>
  <si>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</si>
  <si>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</si>
  <si>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</si>
  <si>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</si>
  <si>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</si>
  <si>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</si>
  <si>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</si>
  <si>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</si>
  <si>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</si>
  <si>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</si>
  <si>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</si>
  <si>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</si>
  <si>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</si>
  <si>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</si>
  <si>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</si>
  <si>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</si>
  <si>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</si>
  <si>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</si>
  <si>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</si>
  <si>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</si>
  <si>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</si>
  <si>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</si>
  <si>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</si>
  <si>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</si>
  <si>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</si>
  <si>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</si>
  <si>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</si>
  <si>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</si>
  <si>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</si>
  <si>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</si>
  <si>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</si>
  <si>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</si>
  <si>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</si>
  <si>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</si>
  <si>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</si>
  <si>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</si>
  <si>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</si>
  <si>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</si>
  <si>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</si>
  <si>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</si>
  <si>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</si>
  <si>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</si>
  <si>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</si>
  <si>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</si>
  <si>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</si>
  <si>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</si>
  <si>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</si>
  <si>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</si>
  <si>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</si>
  <si>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</si>
  <si>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</si>
  <si>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</si>
  <si>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</si>
  <si>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</si>
  <si>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</si>
  <si>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</si>
  <si>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</si>
  <si>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</si>
  <si>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</si>
  <si>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</si>
  <si>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</si>
  <si>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</si>
  <si>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</si>
  <si>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</si>
  <si>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</si>
  <si>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</si>
  <si>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</si>
  <si>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</si>
  <si>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</si>
  <si>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</si>
  <si>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</si>
  <si>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</si>
  <si>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</si>
  <si>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</si>
  <si>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</si>
  <si>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</si>
  <si>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</si>
  <si>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</si>
  <si>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</si>
  <si>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</si>
  <si>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</si>
  <si>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</si>
  <si>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</si>
  <si>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</si>
  <si>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</si>
  <si>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</si>
  <si>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</si>
  <si>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</si>
  <si>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</si>
  <si>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</si>
  <si>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</si>
  <si>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</si>
  <si>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</si>
  <si>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</si>
  <si>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</si>
  <si>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</si>
  <si>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</si>
  <si>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</si>
  <si>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</si>
  <si>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</si>
  <si>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</si>
  <si>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</si>
  <si>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</si>
  <si>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</si>
  <si>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</si>
  <si>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</si>
  <si>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</si>
  <si>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</si>
  <si>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</si>
  <si>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</si>
  <si>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</si>
  <si>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</si>
  <si>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</si>
  <si>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</si>
  <si>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</si>
  <si>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</si>
  <si>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</si>
  <si>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</si>
  <si>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</si>
  <si>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</si>
  <si>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</si>
  <si>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</si>
  <si>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</si>
  <si>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</si>
  <si>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</si>
  <si>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</si>
  <si>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</si>
  <si>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</si>
  <si>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</si>
  <si>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</si>
  <si>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</si>
  <si>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</si>
  <si>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</si>
  <si>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</si>
  <si>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</si>
  <si>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</si>
  <si>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</si>
  <si>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</si>
  <si>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</si>
  <si>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</si>
  <si>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</si>
  <si>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</si>
  <si>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</si>
  <si>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</si>
  <si>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</si>
  <si>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</si>
  <si>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</si>
  <si>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</si>
  <si>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</si>
  <si>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</si>
  <si>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</si>
  <si>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</si>
  <si>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</si>
  <si>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</si>
  <si>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</si>
  <si>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</si>
  <si>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</si>
  <si>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</si>
  <si>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</si>
  <si>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</si>
  <si>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</si>
  <si>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</si>
  <si>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</si>
  <si>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</si>
  <si>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</si>
  <si>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</si>
  <si>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</si>
  <si>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</si>
  <si>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</si>
  <si>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</si>
  <si>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</si>
  <si>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</si>
  <si>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</si>
  <si>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</si>
  <si>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</si>
  <si>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</si>
  <si>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</si>
  <si>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</si>
  <si>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</si>
  <si>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</si>
  <si>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</si>
  <si>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</si>
  <si>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</si>
  <si>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</si>
  <si>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</si>
  <si>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</si>
  <si>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</si>
  <si>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</si>
  <si>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</si>
  <si>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</si>
  <si>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</si>
  <si>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</si>
  <si>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</si>
  <si>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</si>
  <si>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</si>
  <si>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</si>
  <si>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</si>
  <si>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</si>
  <si>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</si>
  <si>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</si>
  <si>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</si>
  <si>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</si>
  <si>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</si>
  <si>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</si>
  <si>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</si>
  <si>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</si>
  <si>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</si>
  <si>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</si>
  <si>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</si>
  <si>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</si>
  <si>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</si>
  <si>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</si>
  <si>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</si>
  <si>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</si>
  <si>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</si>
  <si>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</si>
  <si>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</si>
  <si>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</si>
  <si>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</si>
  <si>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</si>
  <si>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</si>
  <si>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</si>
  <si>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</si>
  <si>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</si>
  <si>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</si>
  <si>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</si>
  <si>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</si>
  <si>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</si>
  <si>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</si>
  <si>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</si>
  <si>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</si>
  <si>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</si>
  <si>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</si>
  <si>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</si>
  <si>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</si>
  <si>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</si>
  <si>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</si>
  <si>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</si>
  <si>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</si>
  <si>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</si>
  <si>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</si>
  <si>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</si>
  <si>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</si>
  <si>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</si>
  <si>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</si>
  <si>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</si>
  <si>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</si>
  <si>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</si>
  <si>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</si>
  <si>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</si>
  <si>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</si>
  <si>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</si>
  <si>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</si>
  <si>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</si>
  <si>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</si>
  <si>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</si>
  <si>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</si>
  <si>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</si>
  <si>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</si>
  <si>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</si>
  <si>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</si>
  <si>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</si>
  <si>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</si>
  <si>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</si>
  <si>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</si>
  <si>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</si>
  <si>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</si>
  <si>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</si>
  <si>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</si>
  <si>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</si>
  <si>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</si>
  <si>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</si>
  <si>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</si>
  <si>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</si>
  <si>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</si>
  <si>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</si>
  <si>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</si>
  <si>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</si>
  <si>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</si>
  <si>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</si>
  <si>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</si>
  <si>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</si>
  <si>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</si>
  <si>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</si>
  <si>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</si>
  <si>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</si>
  <si>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</si>
  <si>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</si>
  <si>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</si>
  <si>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</si>
  <si>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</si>
  <si>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</si>
  <si>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</si>
  <si>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</si>
  <si>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</si>
  <si>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</si>
  <si>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</si>
  <si>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</si>
  <si>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</si>
  <si>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</si>
  <si>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</si>
  <si>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</si>
  <si>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</si>
  <si>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</si>
  <si>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</si>
  <si>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</si>
  <si>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</si>
  <si>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</si>
  <si>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</si>
  <si>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</si>
  <si>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</si>
  <si>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</si>
  <si>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</si>
  <si>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</si>
  <si>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</si>
  <si>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</si>
  <si>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</si>
  <si>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</si>
  <si>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</si>
  <si>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</si>
  <si>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</si>
  <si>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</si>
  <si>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</si>
  <si>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</si>
  <si>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</si>
  <si>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</si>
  <si>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</si>
  <si>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</si>
  <si>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</si>
  <si>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</si>
  <si>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</si>
  <si>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</si>
  <si>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</si>
  <si>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</si>
  <si>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</si>
  <si>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</si>
  <si>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</si>
  <si>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</si>
  <si>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</si>
  <si>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</si>
  <si>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</si>
  <si>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</si>
  <si>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</si>
  <si>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</si>
  <si>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</si>
  <si>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</si>
  <si>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</si>
  <si>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</si>
  <si>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</si>
  <si>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</si>
  <si>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</si>
  <si>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</si>
  <si>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</si>
  <si>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</si>
  <si>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</si>
  <si>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</si>
  <si>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</si>
  <si>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</si>
  <si>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</si>
  <si>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</si>
  <si>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</si>
  <si>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</si>
  <si>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</si>
  <si>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</si>
  <si>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</si>
  <si>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</si>
  <si>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</si>
  <si>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</si>
  <si>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</si>
  <si>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</si>
  <si>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</si>
  <si>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</si>
  <si>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</si>
  <si>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</si>
  <si>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</si>
  <si>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</si>
  <si>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</si>
  <si>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</si>
  <si>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</si>
  <si>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</si>
  <si>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</si>
  <si>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</si>
  <si>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</si>
  <si>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</si>
  <si>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</si>
  <si>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</si>
  <si>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</si>
  <si>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</si>
  <si>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</si>
  <si>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</si>
  <si>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</si>
  <si>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</si>
  <si>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</si>
  <si>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</si>
  <si>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</si>
  <si>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</si>
  <si>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</si>
  <si>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</si>
  <si>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</si>
  <si>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</si>
  <si>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</si>
  <si>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</si>
  <si>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</si>
  <si>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</si>
  <si>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</si>
  <si>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</si>
  <si>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</si>
  <si>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</si>
  <si>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</si>
  <si>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</si>
  <si>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</si>
  <si>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</si>
  <si>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</si>
  <si>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</si>
  <si>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</si>
  <si>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</si>
  <si>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</si>
  <si>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</si>
  <si>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</si>
  <si>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</si>
  <si>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</si>
  <si>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</si>
  <si>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</si>
  <si>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</si>
  <si>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</si>
  <si>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</si>
  <si>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</si>
  <si>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</si>
  <si>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</si>
  <si>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</si>
  <si>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</si>
  <si>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</si>
  <si>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</si>
  <si>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</si>
  <si>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</si>
  <si>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</si>
  <si>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</si>
  <si>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</si>
  <si>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</si>
  <si>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</si>
  <si>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</si>
  <si>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</si>
  <si>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</si>
  <si>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</si>
  <si>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</si>
  <si>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</si>
  <si>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</si>
  <si>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</si>
  <si>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</si>
  <si>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</si>
  <si>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</si>
  <si>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</si>
  <si>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</si>
  <si>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</si>
  <si>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</si>
  <si>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</si>
  <si>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</si>
  <si>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</si>
  <si>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</si>
  <si>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</si>
  <si>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</si>
  <si>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</si>
  <si>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</si>
  <si>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</si>
  <si>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</si>
  <si>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</si>
  <si>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</si>
  <si>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</si>
  <si>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</si>
  <si>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</si>
  <si>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</si>
  <si>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</si>
  <si>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</si>
  <si>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</si>
  <si>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</si>
  <si>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</si>
  <si>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</si>
  <si>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</si>
  <si>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</si>
  <si>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</si>
  <si>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</si>
  <si>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</si>
  <si>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</si>
  <si>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</si>
  <si>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</si>
  <si>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</si>
  <si>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</si>
  <si>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</si>
  <si>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</si>
  <si>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</si>
  <si>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</si>
  <si>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</si>
  <si>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</si>
  <si>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</si>
  <si>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</si>
  <si>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</si>
  <si>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</si>
  <si>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</si>
  <si>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</si>
  <si>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</si>
  <si>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</si>
  <si>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</si>
  <si>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</si>
  <si>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</si>
  <si>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</si>
  <si>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</si>
  <si>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</si>
  <si>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</si>
  <si>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</si>
  <si>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</si>
  <si>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</si>
  <si>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</si>
  <si>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</si>
  <si>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</si>
  <si>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</si>
  <si>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</si>
  <si>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</si>
  <si>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</si>
  <si>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</si>
  <si>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</si>
  <si>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</si>
  <si>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</si>
  <si>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</si>
  <si>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</si>
  <si>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</si>
  <si>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</si>
  <si>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</si>
  <si>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</si>
  <si>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</si>
  <si>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</si>
  <si>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</si>
  <si>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</si>
  <si>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</si>
  <si>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</si>
  <si>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</si>
  <si>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</si>
  <si>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</si>
  <si>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</si>
  <si>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</si>
  <si>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</si>
  <si>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</si>
  <si>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</si>
  <si>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</si>
  <si>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</si>
  <si>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</si>
  <si>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</si>
  <si>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</si>
  <si>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</si>
  <si>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</si>
  <si>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</si>
  <si>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</si>
  <si>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</si>
  <si>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</si>
  <si>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</si>
  <si>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</si>
  <si>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</si>
  <si>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</si>
  <si>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</si>
  <si>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</si>
  <si>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</si>
  <si>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</si>
  <si>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</si>
  <si>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</si>
  <si>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</si>
  <si>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</si>
  <si>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</si>
  <si>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</si>
  <si>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</si>
  <si>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</si>
  <si>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</si>
  <si>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</si>
  <si>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</si>
  <si>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</si>
  <si>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</si>
  <si>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</si>
  <si>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</si>
  <si>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</si>
  <si>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</si>
  <si>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</si>
  <si>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</si>
  <si>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</si>
  <si>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</si>
  <si>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</si>
  <si>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</si>
  <si>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</si>
  <si>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</si>
  <si>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</si>
  <si>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</si>
  <si>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</si>
  <si>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</si>
  <si>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</si>
  <si>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</si>
  <si>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</si>
  <si>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</si>
  <si>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</si>
  <si>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</si>
  <si>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</si>
  <si>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</si>
  <si>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</si>
  <si>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</si>
  <si>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</si>
  <si>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</si>
  <si>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</si>
  <si>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</si>
  <si>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</si>
  <si>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</si>
  <si>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</si>
  <si>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</si>
  <si>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</si>
  <si>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</si>
  <si>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</si>
  <si>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</si>
  <si>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</si>
  <si>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</si>
  <si>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</si>
  <si>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</si>
  <si>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</si>
  <si>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</si>
  <si>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</si>
  <si>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</si>
  <si>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</si>
  <si>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</si>
  <si>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</si>
  <si>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</si>
  <si>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</si>
  <si>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</si>
  <si>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</si>
  <si>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</si>
  <si>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</si>
  <si>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</si>
  <si>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</si>
  <si>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</si>
  <si>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</si>
  <si>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</si>
  <si>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</si>
  <si>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</si>
  <si>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</si>
  <si>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</si>
  <si>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</si>
  <si>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</si>
  <si>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</si>
  <si>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</si>
  <si>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</si>
  <si>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</si>
  <si>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</si>
  <si>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</si>
  <si>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</si>
  <si>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</si>
  <si>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</si>
  <si>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</si>
  <si>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</si>
  <si>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</si>
  <si>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</si>
  <si>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</si>
  <si>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</si>
  <si>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</si>
  <si>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</si>
  <si>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</si>
  <si>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</si>
  <si>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</si>
  <si>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</si>
  <si>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</si>
  <si>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</si>
  <si>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</si>
  <si>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</si>
  <si>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</si>
  <si>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</si>
  <si>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</si>
  <si>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</si>
  <si>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</si>
  <si>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</si>
  <si>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</si>
  <si>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</si>
  <si>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</si>
  <si>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</si>
  <si>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</si>
  <si>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</si>
  <si>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</si>
  <si>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</si>
  <si>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</si>
  <si>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</si>
  <si>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</si>
  <si>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</si>
  <si>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</si>
  <si>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</si>
  <si>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</si>
  <si>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</si>
  <si>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</si>
  <si>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</si>
  <si>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</si>
  <si>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</si>
  <si>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</si>
  <si>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</si>
  <si>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</si>
  <si>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</si>
  <si>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</si>
  <si>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</si>
  <si>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</si>
  <si>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</si>
  <si>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</si>
  <si>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</si>
  <si>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</si>
  <si>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</si>
  <si>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</si>
  <si>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</si>
  <si>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</si>
  <si>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</si>
  <si>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</si>
  <si>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</si>
  <si>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</si>
  <si>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</si>
  <si>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</si>
  <si>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</si>
  <si>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</si>
  <si>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</si>
  <si>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</si>
  <si>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</si>
  <si>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</si>
  <si>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</si>
  <si>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</si>
  <si>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</si>
  <si>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</si>
  <si>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</si>
  <si>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</si>
  <si>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</si>
  <si>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</si>
  <si>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</si>
  <si>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</si>
  <si>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</si>
  <si>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</si>
  <si>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</si>
  <si>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</si>
  <si>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</si>
  <si>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</si>
  <si>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</si>
  <si>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</si>
  <si>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</si>
  <si>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</si>
  <si>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</si>
  <si>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</si>
  <si>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</si>
  <si>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</si>
  <si>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</si>
  <si>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</si>
  <si>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</si>
  <si>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</si>
  <si>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</si>
  <si>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</si>
  <si>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</si>
  <si>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</si>
  <si>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</si>
  <si>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</si>
  <si>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</si>
  <si>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</si>
  <si>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</si>
  <si>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</si>
  <si>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</si>
  <si>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</si>
  <si>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</si>
  <si>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</si>
  <si>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</si>
  <si>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</si>
  <si>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</si>
  <si>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</si>
  <si>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</si>
  <si>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</si>
  <si>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</si>
  <si>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</si>
  <si>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</si>
  <si>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</si>
  <si>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</si>
  <si>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</si>
  <si>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</si>
  <si>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</si>
  <si>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</si>
  <si>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</si>
  <si>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</si>
  <si>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</si>
  <si>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</si>
  <si>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</si>
  <si>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</si>
  <si>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</si>
  <si>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</si>
  <si>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</si>
  <si>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</si>
  <si>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</si>
  <si>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</si>
  <si>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</si>
  <si>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</si>
  <si>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</si>
  <si>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</si>
  <si>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</si>
  <si>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</si>
  <si>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</si>
  <si>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</si>
  <si>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</si>
  <si>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</si>
  <si>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</si>
  <si>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</si>
  <si>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</si>
  <si>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</si>
  <si>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</si>
  <si>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</si>
  <si>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</si>
  <si>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</si>
  <si>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</si>
  <si>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</si>
  <si>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</si>
  <si>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</si>
  <si>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</si>
  <si>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</si>
  <si>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</si>
  <si>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</si>
  <si>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</si>
  <si>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</si>
  <si>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</si>
  <si>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</si>
  <si>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</si>
  <si>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</si>
  <si>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</si>
  <si>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</si>
  <si>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</si>
  <si>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</si>
  <si>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</si>
  <si>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</si>
  <si>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</si>
  <si>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</si>
  <si>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</si>
  <si>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</si>
  <si>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</si>
  <si>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</si>
  <si>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</si>
  <si>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</si>
  <si>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</si>
  <si>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</si>
  <si>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</si>
  <si>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</si>
  <si>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</si>
  <si>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</si>
  <si>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</si>
  <si>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</si>
  <si>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</si>
  <si>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</si>
  <si>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</si>
  <si>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</si>
  <si>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</si>
  <si>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</si>
  <si>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</si>
  <si>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</si>
  <si>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</si>
  <si>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</si>
  <si>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</si>
  <si>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</si>
  <si>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</si>
  <si>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</si>
  <si>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</si>
  <si>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</si>
  <si>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</si>
  <si>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</si>
  <si>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</si>
  <si>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</si>
  <si>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</si>
  <si>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</si>
  <si>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</si>
  <si>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</si>
  <si>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</si>
  <si>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</si>
  <si>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</si>
  <si>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</si>
  <si>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</si>
  <si>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</si>
  <si>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</si>
  <si>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</si>
  <si>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</si>
  <si>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</si>
  <si>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</si>
  <si>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</si>
  <si>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</si>
  <si>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</si>
  <si>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</si>
  <si>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</si>
  <si>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</si>
  <si>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</si>
  <si>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</si>
  <si>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</si>
  <si>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</si>
  <si>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</si>
  <si>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</si>
  <si>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</si>
  <si>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</si>
  <si>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</si>
  <si>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</si>
  <si>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</si>
  <si>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</si>
  <si>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</si>
  <si>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</si>
  <si>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</si>
  <si>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</si>
  <si>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</si>
  <si>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</si>
  <si>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</si>
  <si>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</si>
  <si>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</si>
  <si>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</si>
  <si>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</si>
  <si>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</si>
  <si>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</si>
  <si>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</si>
  <si>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</si>
  <si>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</si>
  <si>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</si>
  <si>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</si>
  <si>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</si>
  <si>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</si>
  <si>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</si>
  <si>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</si>
  <si>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</si>
  <si>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</si>
  <si>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</si>
  <si>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</si>
  <si>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</si>
  <si>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</si>
  <si>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</si>
  <si>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</si>
  <si>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</si>
  <si>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</si>
  <si>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</si>
  <si>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</si>
  <si>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</si>
  <si>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</si>
  <si>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</si>
  <si>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</si>
  <si>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</si>
  <si>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</si>
  <si>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</si>
  <si>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</si>
  <si>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</si>
  <si>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</si>
  <si>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</si>
  <si>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</si>
  <si>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</si>
  <si>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</si>
  <si>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</si>
  <si>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</si>
  <si>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</si>
  <si>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</si>
  <si>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</si>
  <si>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</si>
  <si>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</si>
  <si>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</si>
  <si>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</si>
  <si>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</si>
  <si>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</si>
  <si>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</si>
  <si>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</si>
  <si>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</si>
  <si>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</si>
  <si>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</si>
  <si>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</si>
  <si>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</si>
  <si>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</si>
  <si>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</si>
  <si>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</si>
  <si>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</si>
  <si>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</si>
  <si>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</si>
  <si>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</si>
  <si>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</si>
  <si>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</si>
  <si>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</si>
  <si>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</si>
  <si>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</si>
  <si>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</si>
  <si>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</si>
  <si>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</si>
  <si>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</si>
  <si>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</si>
  <si>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</si>
  <si>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</si>
  <si>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</si>
  <si>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</si>
  <si>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</si>
  <si>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</si>
  <si>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</si>
  <si>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</si>
  <si>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</si>
  <si>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</si>
  <si>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</si>
  <si>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</si>
  <si>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</si>
  <si>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</si>
  <si>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</si>
  <si>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</si>
  <si>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</si>
  <si>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</si>
  <si>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</si>
  <si>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</si>
  <si>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</si>
  <si>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</si>
  <si>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</si>
  <si>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</si>
  <si>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</si>
  <si>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</si>
  <si>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</si>
  <si>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</si>
  <si>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</si>
  <si>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</si>
  <si>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</si>
  <si>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</si>
  <si>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</si>
  <si>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</si>
  <si>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</si>
  <si>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</si>
  <si>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</si>
  <si>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</si>
  <si>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</si>
  <si>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</si>
  <si>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</si>
  <si>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</si>
  <si>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</si>
  <si>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</si>
  <si>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</si>
  <si>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</si>
  <si>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</si>
  <si>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</si>
  <si>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</si>
  <si>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</si>
  <si>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</si>
  <si>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</si>
  <si>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</si>
  <si>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</si>
  <si>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</si>
  <si>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</si>
  <si>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</si>
  <si>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</si>
  <si>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</si>
  <si>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</si>
  <si>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</si>
  <si>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</si>
  <si>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</si>
  <si>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</si>
  <si>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</si>
  <si>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</si>
  <si>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</si>
  <si>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</si>
  <si>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</si>
  <si>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</si>
  <si>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</si>
  <si>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</si>
  <si>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</si>
  <si>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</si>
  <si>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</si>
  <si>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</si>
  <si>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</si>
  <si>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</si>
  <si>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</si>
  <si>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</si>
  <si>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</si>
  <si>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</si>
  <si>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</si>
  <si>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</si>
  <si>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</si>
  <si>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</si>
  <si>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</si>
  <si>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</si>
  <si>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</si>
  <si>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</si>
  <si>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</si>
  <si>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</si>
  <si>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</si>
  <si>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</si>
  <si>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</si>
  <si>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</si>
  <si>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</si>
  <si>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</si>
  <si>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</si>
  <si>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</si>
  <si>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</si>
  <si>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</si>
  <si>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</si>
  <si>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</si>
  <si>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</si>
  <si>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</si>
  <si>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</si>
  <si>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</si>
  <si>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</si>
  <si>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</si>
  <si>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</si>
  <si>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</si>
  <si>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</si>
  <si>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</si>
  <si>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</si>
  <si>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</si>
  <si>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</si>
  <si>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</si>
  <si>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</si>
  <si>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</si>
  <si>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</si>
  <si>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</si>
  <si>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</si>
  <si>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</si>
  <si>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</si>
  <si>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</si>
  <si>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</si>
  <si>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</si>
  <si>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</si>
  <si>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</si>
  <si>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</si>
  <si>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</si>
  <si>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</si>
  <si>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</si>
  <si>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</si>
  <si>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</si>
  <si>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</si>
  <si>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</si>
  <si>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</si>
  <si>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</si>
  <si>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</si>
  <si>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</si>
  <si>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</si>
  <si>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</si>
  <si>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</si>
  <si>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</si>
  <si>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</si>
  <si>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</si>
  <si>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</si>
  <si>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</si>
  <si>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</si>
  <si>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</si>
  <si>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</si>
  <si>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</si>
  <si>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</si>
  <si>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</si>
  <si>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</si>
  <si>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</si>
  <si>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</si>
  <si>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</si>
  <si>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</si>
  <si>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</si>
  <si>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</si>
  <si>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</si>
  <si>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</si>
  <si>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</si>
  <si>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</si>
  <si>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</si>
  <si>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</si>
  <si>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</si>
  <si>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</si>
  <si>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</si>
  <si>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</si>
  <si>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</si>
  <si>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</si>
  <si>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</si>
  <si>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</si>
  <si>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</si>
  <si>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</si>
  <si>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</si>
  <si>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</si>
  <si>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</si>
  <si>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</si>
  <si>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</si>
  <si>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</si>
  <si>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</si>
  <si>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</si>
  <si>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</si>
  <si>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</si>
  <si>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</si>
  <si>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</si>
  <si>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</si>
  <si>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</si>
  <si>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</si>
  <si>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</si>
  <si>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</si>
  <si>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</si>
  <si>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</si>
  <si>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</si>
  <si>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</si>
  <si>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</si>
  <si>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</si>
  <si>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</si>
  <si>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</si>
  <si>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</si>
  <si>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</si>
  <si>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</si>
  <si>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</si>
  <si>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</si>
  <si>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</si>
  <si>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</si>
  <si>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</si>
  <si>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</si>
  <si>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</si>
  <si>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</si>
  <si>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</si>
  <si>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</si>
  <si>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</si>
  <si>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</si>
  <si>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</si>
  <si>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</si>
  <si>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</si>
  <si>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</si>
  <si>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</si>
  <si>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</si>
  <si>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</si>
  <si>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</si>
  <si>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</si>
  <si>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</si>
  <si>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</si>
  <si>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</si>
  <si>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</si>
  <si>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</si>
  <si>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</si>
  <si>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</si>
  <si>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</si>
  <si>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</si>
  <si>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</si>
  <si>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</si>
  <si>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</si>
  <si>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</si>
  <si>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</si>
  <si>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</si>
  <si>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</si>
  <si>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</si>
  <si>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</si>
  <si>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</si>
  <si>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</si>
  <si>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</si>
  <si>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</si>
  <si>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</si>
  <si>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</si>
  <si>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</si>
  <si>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</si>
  <si>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</si>
  <si>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</si>
  <si>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</si>
  <si>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</si>
  <si>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</si>
  <si>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</si>
  <si>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</si>
  <si>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</si>
  <si>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</si>
  <si>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</si>
  <si>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</si>
  <si>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</si>
  <si>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</si>
  <si>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</si>
  <si>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</si>
  <si>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</si>
  <si>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</si>
  <si>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</si>
  <si>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</si>
  <si>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</si>
  <si>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</si>
  <si>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</si>
  <si>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</si>
  <si>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</si>
  <si>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</si>
  <si>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</si>
  <si>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</si>
  <si>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</si>
  <si>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</si>
  <si>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</si>
  <si>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</si>
  <si>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</si>
  <si>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</si>
  <si>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</si>
  <si>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</si>
  <si>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</si>
  <si>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</si>
  <si>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</si>
  <si>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</si>
  <si>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</si>
  <si>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</si>
  <si>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</si>
  <si>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</si>
  <si>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</si>
  <si>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</si>
  <si>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</si>
  <si>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</si>
  <si>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</si>
  <si>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</si>
  <si>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</si>
  <si>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</si>
  <si>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</si>
  <si>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</si>
  <si>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</si>
  <si>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</si>
  <si>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</si>
  <si>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</si>
  <si>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</si>
  <si>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</si>
  <si>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</si>
  <si>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</si>
  <si>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</si>
  <si>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</si>
  <si>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</si>
  <si>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</si>
  <si>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</si>
  <si>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</si>
  <si>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</si>
  <si>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</si>
  <si>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</si>
  <si>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</si>
  <si>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</si>
  <si>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</si>
  <si>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</si>
  <si>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</si>
  <si>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</si>
  <si>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</si>
  <si>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</si>
  <si>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</si>
  <si>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</si>
  <si>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</si>
  <si>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</si>
  <si>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</si>
  <si>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</si>
  <si>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</si>
  <si>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</si>
  <si>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</si>
  <si>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</si>
  <si>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</si>
  <si>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</si>
  <si>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</si>
  <si>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</si>
  <si>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</si>
  <si>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</si>
  <si>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</si>
  <si>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</si>
  <si>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</si>
  <si>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</si>
  <si>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</si>
  <si>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</si>
  <si>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</si>
  <si>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</si>
  <si>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</si>
  <si>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</si>
  <si>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</si>
  <si>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</si>
  <si>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</si>
  <si>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</si>
  <si>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</si>
  <si>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</si>
  <si>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</si>
  <si>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</si>
  <si>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</si>
  <si>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</si>
  <si>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</si>
  <si>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</si>
  <si>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</si>
  <si>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</si>
  <si>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</si>
  <si>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</si>
  <si>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</si>
  <si>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</si>
  <si>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</si>
  <si>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</si>
  <si>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</si>
  <si>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</si>
  <si>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</si>
  <si>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</si>
  <si>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</si>
  <si>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</si>
  <si>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</si>
  <si>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</si>
  <si>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</si>
  <si>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</si>
  <si>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</si>
  <si>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</si>
  <si>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</si>
  <si>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</si>
  <si>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</si>
  <si>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</si>
  <si>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</si>
  <si>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</si>
  <si>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</si>
  <si>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</si>
  <si>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</si>
  <si>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</si>
  <si>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</si>
  <si>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</si>
  <si>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</si>
  <si>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</si>
  <si>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</si>
  <si>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</si>
  <si>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</si>
  <si>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</si>
  <si>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</si>
  <si>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</si>
  <si>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</si>
  <si>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</si>
  <si>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</si>
  <si>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</si>
  <si>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</si>
  <si>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</si>
  <si>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</si>
  <si>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</si>
  <si>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</si>
  <si>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</si>
  <si>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</si>
  <si>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</si>
  <si>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</si>
  <si>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</si>
  <si>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</si>
  <si>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</si>
  <si>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</si>
  <si>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</si>
  <si>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</si>
  <si>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</si>
  <si>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</si>
  <si>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</si>
  <si>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</si>
  <si>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</si>
  <si>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</si>
  <si>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</si>
  <si>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</si>
  <si>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</si>
  <si>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</si>
  <si>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</si>
  <si>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</si>
  <si>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</si>
  <si>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</si>
  <si>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</si>
  <si>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</si>
  <si>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</si>
  <si>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</si>
  <si>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</si>
  <si>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</si>
  <si>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</si>
  <si>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</si>
  <si>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</si>
  <si>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</si>
  <si>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</si>
  <si>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</si>
  <si>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</si>
  <si>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</si>
  <si>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</si>
  <si>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</si>
  <si>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</si>
  <si>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</si>
  <si>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</si>
  <si>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</si>
  <si>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</si>
  <si>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</si>
  <si>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</si>
  <si>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</si>
  <si>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</si>
  <si>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</si>
  <si>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</si>
  <si>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</si>
  <si>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</si>
  <si>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</si>
  <si>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</si>
  <si>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</si>
  <si>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</si>
  <si>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</si>
  <si>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</si>
  <si>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</si>
  <si>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</si>
  <si>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</si>
  <si>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</si>
  <si>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</si>
  <si>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</si>
  <si>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</si>
  <si>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</si>
  <si>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</si>
  <si>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</si>
  <si>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</si>
  <si>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</si>
  <si>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</si>
  <si>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</si>
  <si>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</si>
  <si>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</si>
  <si>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</si>
  <si>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</si>
  <si>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</si>
  <si>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</si>
  <si>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</si>
  <si>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</si>
  <si>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</si>
  <si>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</si>
  <si>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</si>
  <si>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</si>
  <si>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</si>
  <si>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</si>
  <si>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</si>
  <si>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</si>
  <si>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</si>
  <si>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</si>
  <si>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</si>
  <si>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</si>
  <si>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</si>
  <si>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</si>
  <si>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</si>
  <si>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</si>
  <si>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</si>
  <si>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</si>
  <si>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</si>
  <si>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</si>
  <si>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</si>
  <si>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</si>
  <si>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</si>
  <si>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</si>
  <si>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</si>
  <si>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</si>
  <si>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</si>
  <si>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</si>
  <si>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</si>
  <si>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</si>
  <si>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</si>
  <si>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</si>
  <si>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</si>
  <si>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</si>
  <si>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</si>
  <si>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</si>
  <si>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</si>
  <si>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</si>
  <si>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</si>
  <si>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</si>
  <si>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</si>
  <si>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</si>
  <si>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</si>
  <si>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</si>
  <si>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</si>
  <si>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</si>
  <si>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</si>
  <si>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</si>
  <si>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</si>
  <si>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</si>
  <si>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</si>
  <si>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</si>
  <si>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</si>
  <si>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</si>
  <si>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</si>
  <si>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</si>
  <si>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</si>
  <si>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</si>
  <si>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</si>
  <si>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</si>
  <si>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</si>
  <si>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</si>
  <si>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</si>
  <si>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</si>
  <si>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</si>
  <si>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</si>
  <si>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</si>
  <si>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</si>
  <si>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</si>
  <si>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</si>
  <si>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</si>
  <si>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</si>
  <si>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</si>
  <si>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</si>
  <si>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</si>
  <si>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</si>
  <si>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</si>
  <si>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</si>
  <si>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</si>
  <si>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</si>
  <si>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</si>
  <si>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</si>
  <si>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</si>
  <si>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</si>
  <si>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</si>
  <si>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</si>
  <si>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</si>
  <si>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</si>
  <si>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</si>
  <si>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</si>
  <si>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</si>
  <si>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</si>
  <si>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</si>
  <si>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</si>
  <si>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</si>
  <si>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</si>
  <si>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</si>
  <si>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</si>
  <si>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</si>
  <si>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</si>
  <si>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</si>
  <si>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</si>
  <si>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</si>
  <si>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</si>
  <si>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</si>
  <si>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</si>
  <si>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</si>
  <si>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</si>
  <si>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</si>
  <si>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</si>
  <si>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</si>
  <si>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</si>
  <si>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</si>
  <si>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</si>
  <si>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</si>
  <si>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</si>
  <si>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</si>
  <si>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</si>
  <si>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</si>
  <si>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</si>
  <si>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</si>
  <si>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</si>
  <si>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</si>
  <si>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</si>
  <si>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</si>
  <si>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</si>
  <si>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</si>
  <si>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</si>
  <si>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</si>
  <si>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</si>
  <si>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</si>
  <si>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</si>
  <si>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</si>
  <si>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</si>
  <si>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</si>
  <si>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</si>
  <si>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</si>
  <si>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</si>
  <si>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</si>
  <si>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</si>
  <si>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</si>
  <si>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</si>
  <si>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</si>
  <si>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</si>
  <si>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</si>
  <si>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</si>
  <si>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</si>
  <si>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</si>
  <si>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</si>
  <si>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</si>
  <si>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</si>
  <si>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</si>
  <si>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</si>
  <si>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</si>
  <si>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</si>
  <si>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</si>
  <si>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</si>
  <si>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</si>
  <si>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</si>
  <si>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</si>
  <si>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</si>
  <si>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</si>
  <si>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</si>
  <si>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</si>
  <si>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</si>
  <si>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</si>
  <si>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</si>
  <si>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</si>
  <si>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</si>
  <si>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</si>
  <si>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</si>
  <si>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</si>
  <si>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</si>
  <si>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</si>
  <si>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</si>
  <si>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</si>
  <si>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</si>
  <si>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</si>
  <si>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</si>
  <si>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</si>
  <si>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</si>
  <si>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</si>
  <si>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</si>
  <si>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</si>
  <si>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</si>
  <si>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</si>
  <si>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</si>
  <si>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</si>
  <si>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</si>
  <si>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</si>
  <si>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</si>
  <si>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</si>
  <si>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</si>
  <si>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</si>
  <si>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</si>
  <si>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</si>
  <si>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</si>
  <si>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</si>
  <si>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</si>
  <si>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</si>
  <si>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</si>
  <si>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</si>
  <si>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</si>
  <si>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</si>
  <si>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</si>
  <si>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</si>
  <si>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</si>
  <si>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</si>
  <si>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</si>
  <si>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</si>
  <si>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</si>
  <si>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</si>
  <si>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</si>
  <si>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</si>
  <si>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</si>
  <si>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</si>
  <si>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</si>
  <si>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</si>
  <si>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</si>
  <si>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</si>
  <si>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</si>
  <si>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</si>
  <si>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</si>
  <si>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</si>
  <si>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</si>
  <si>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</si>
  <si>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</si>
  <si>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</si>
  <si>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</si>
  <si>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</si>
  <si>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</si>
  <si>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</si>
  <si>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</si>
  <si>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</si>
  <si>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</si>
  <si>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</si>
  <si>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</si>
  <si>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</si>
  <si>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</si>
  <si>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</si>
  <si>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</si>
  <si>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</si>
  <si>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</si>
  <si>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</si>
  <si>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</si>
  <si>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</si>
  <si>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</si>
  <si>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</si>
  <si>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</si>
  <si>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</si>
  <si>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</si>
  <si>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</si>
  <si>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</si>
  <si>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</si>
  <si>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</si>
  <si>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</si>
  <si>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</si>
  <si>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</si>
  <si>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</si>
  <si>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</si>
  <si>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</si>
  <si>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</si>
  <si>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</si>
  <si>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</si>
  <si>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</si>
  <si>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</si>
  <si>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</si>
  <si>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</si>
  <si>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</si>
  <si>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</si>
  <si>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</si>
  <si>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</si>
  <si>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</si>
  <si>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</si>
  <si>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</si>
  <si>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</si>
  <si>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</si>
  <si>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</si>
  <si>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</si>
  <si>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</si>
  <si>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</si>
  <si>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</si>
  <si>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</si>
  <si>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</si>
  <si>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</si>
  <si>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</si>
  <si>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</si>
  <si>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</si>
  <si>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</si>
  <si>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</si>
  <si>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</si>
  <si>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</si>
  <si>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</si>
  <si>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</si>
  <si>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</si>
  <si>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</si>
  <si>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</si>
  <si>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</si>
  <si>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</si>
  <si>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</si>
  <si>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</si>
  <si>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</si>
  <si>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</si>
  <si>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</si>
  <si>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</si>
  <si>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</si>
  <si>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</si>
  <si>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</si>
  <si>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</si>
  <si>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</si>
  <si>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</si>
  <si>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</si>
  <si>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</si>
  <si>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</si>
  <si>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</si>
  <si>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</si>
  <si>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</si>
  <si>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</si>
  <si>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</si>
  <si>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</si>
  <si>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</si>
  <si>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</si>
  <si>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</si>
  <si>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</si>
  <si>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</si>
  <si>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</si>
  <si>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</si>
  <si>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</si>
  <si>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</si>
  <si>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</si>
  <si>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</si>
  <si>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</si>
  <si>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</si>
  <si>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</si>
  <si>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</si>
  <si>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</si>
  <si>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</si>
  <si>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</si>
  <si>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</si>
  <si>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</si>
  <si>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</si>
  <si>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</si>
  <si>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</si>
  <si>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</si>
  <si>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</si>
  <si>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</si>
  <si>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</si>
  <si>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</si>
  <si>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</si>
  <si>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</si>
  <si>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</si>
  <si>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</si>
  <si>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</si>
  <si>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</si>
  <si>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</si>
  <si>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</si>
  <si>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</si>
  <si>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</si>
  <si>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</si>
  <si>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</si>
  <si>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</si>
  <si>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</si>
  <si>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</si>
  <si>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</si>
  <si>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</si>
  <si>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</si>
  <si>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</si>
  <si>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</si>
  <si>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</si>
  <si>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</si>
  <si>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</si>
  <si>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</si>
  <si>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</si>
  <si>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</si>
  <si>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</si>
  <si>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</si>
  <si>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</si>
  <si>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</si>
  <si>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</si>
  <si>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</si>
  <si>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</si>
  <si>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</si>
  <si>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</si>
  <si>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</si>
  <si>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</si>
  <si>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</si>
  <si>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</si>
  <si>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</si>
  <si>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</si>
  <si>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</si>
  <si>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</si>
  <si>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</si>
  <si>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</si>
  <si>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</si>
  <si>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</si>
  <si>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</si>
  <si>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</si>
  <si>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</si>
  <si>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</si>
  <si>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</si>
  <si>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</si>
  <si>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</si>
  <si>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</si>
  <si>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</si>
  <si>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</si>
  <si>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</si>
  <si>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</si>
  <si>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</si>
  <si>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</si>
  <si>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</si>
  <si>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</si>
  <si>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</si>
  <si>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</si>
  <si>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</si>
  <si>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</si>
  <si>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</si>
  <si>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</si>
  <si>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</si>
  <si>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</si>
  <si>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</si>
  <si>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</si>
  <si>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</si>
  <si>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</si>
  <si>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</si>
  <si>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</si>
  <si>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</si>
  <si>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</si>
  <si>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</si>
  <si>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</si>
  <si>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</si>
  <si>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</si>
  <si>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</si>
  <si>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</si>
  <si>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</si>
  <si>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</si>
  <si>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</si>
  <si>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</si>
  <si>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</si>
  <si>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</si>
  <si>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</si>
  <si>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</si>
  <si>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</si>
  <si>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</si>
  <si>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</si>
  <si>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</si>
  <si>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</si>
  <si>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</si>
  <si>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</si>
  <si>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</si>
  <si>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</si>
  <si>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</si>
  <si>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</si>
  <si>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</si>
  <si>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</si>
  <si>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</si>
  <si>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</si>
  <si>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</si>
  <si>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</si>
  <si>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</si>
  <si>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</si>
  <si>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</si>
  <si>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</si>
  <si>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</si>
  <si>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</si>
  <si>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</si>
  <si>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</si>
  <si>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</si>
  <si>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</si>
  <si>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</si>
  <si>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</si>
  <si>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</si>
  <si>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</si>
  <si>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</si>
  <si>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</si>
  <si>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</si>
  <si>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</si>
  <si>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</si>
  <si>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</si>
  <si>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</si>
  <si>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</si>
  <si>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</si>
  <si>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</si>
  <si>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</si>
  <si>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</si>
  <si>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</si>
  <si>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</si>
  <si>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</si>
  <si>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</si>
  <si>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</si>
  <si>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</si>
  <si>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</si>
  <si>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</si>
  <si>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</si>
  <si>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</si>
  <si>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</si>
  <si>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</si>
  <si>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</si>
  <si>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</si>
  <si>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</si>
  <si>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</si>
  <si>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</si>
  <si>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</si>
  <si>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</si>
  <si>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</si>
  <si>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</si>
  <si>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</si>
  <si>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</si>
  <si>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</si>
  <si>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</si>
  <si>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</si>
  <si>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</si>
  <si>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</si>
  <si>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</si>
  <si>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</si>
  <si>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</si>
  <si>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</si>
  <si>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</si>
  <si>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</si>
  <si>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</si>
  <si>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</si>
  <si>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</si>
  <si>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</si>
  <si>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</si>
  <si>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</si>
  <si>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</si>
  <si>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</si>
  <si>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</si>
  <si>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</si>
  <si>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</si>
  <si>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</si>
  <si>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</si>
  <si>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</si>
  <si>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</si>
  <si>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</si>
  <si>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</si>
  <si>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</si>
  <si>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</si>
  <si>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</si>
  <si>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</si>
  <si>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</si>
  <si>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</si>
  <si>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</si>
  <si>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</si>
  <si>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</si>
  <si>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</si>
  <si>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</si>
  <si>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</si>
  <si>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</si>
  <si>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</si>
  <si>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</si>
  <si>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</si>
  <si>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</si>
  <si>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</si>
  <si>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</si>
  <si>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</si>
  <si>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</si>
  <si>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</si>
  <si>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</si>
  <si>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</si>
  <si>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</si>
  <si>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</si>
  <si>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</si>
  <si>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</si>
  <si>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</si>
  <si>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</si>
  <si>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</si>
  <si>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</si>
  <si>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</si>
  <si>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</si>
  <si>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</si>
  <si>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</si>
  <si>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</si>
  <si>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</si>
  <si>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</si>
  <si>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</si>
  <si>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</si>
  <si>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</si>
  <si>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</si>
  <si>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</si>
  <si>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</si>
  <si>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</si>
  <si>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</si>
  <si>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</si>
  <si>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</si>
  <si>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</si>
  <si>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</si>
  <si>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</si>
  <si>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</si>
  <si>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</si>
  <si>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</si>
  <si>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</si>
  <si>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</si>
  <si>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</si>
  <si>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</si>
  <si>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</si>
  <si>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</si>
  <si>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</si>
  <si>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</si>
  <si>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</si>
  <si>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</si>
  <si>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</si>
  <si>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</si>
  <si>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</si>
  <si>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</si>
  <si>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</si>
  <si>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</si>
  <si>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</si>
  <si>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</si>
  <si>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</si>
  <si>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</si>
  <si>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</si>
  <si>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</si>
  <si>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</si>
  <si>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</si>
  <si>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</si>
  <si>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</si>
  <si>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</si>
  <si>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</si>
  <si>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</si>
  <si>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</si>
  <si>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</si>
  <si>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</si>
  <si>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</si>
  <si>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</si>
  <si>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</si>
  <si>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</si>
  <si>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</si>
  <si>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</si>
  <si>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</si>
  <si>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</si>
  <si>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</si>
  <si>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</si>
  <si>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</si>
  <si>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</si>
  <si>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</si>
  <si>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</si>
  <si>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</si>
  <si>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</si>
  <si>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</si>
  <si>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</si>
  <si>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</si>
  <si>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</si>
  <si>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</si>
  <si>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</si>
  <si>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</si>
  <si>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</si>
  <si>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</si>
  <si>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</si>
  <si>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</si>
  <si>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</si>
  <si>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</si>
  <si>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</si>
  <si>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</si>
  <si>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</si>
  <si>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</si>
  <si>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</si>
  <si>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</si>
  <si>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</si>
  <si>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</si>
  <si>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</si>
  <si>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</si>
  <si>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</si>
  <si>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</si>
  <si>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</si>
  <si>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</si>
  <si>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</si>
  <si>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</si>
  <si>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</si>
  <si>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</si>
  <si>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</si>
  <si>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</si>
  <si>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</si>
  <si>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</si>
  <si>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</si>
  <si>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</si>
  <si>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</si>
  <si>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</si>
  <si>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</si>
  <si>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</si>
  <si>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</si>
  <si>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</si>
  <si>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</si>
  <si>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</si>
  <si>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</si>
  <si>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</si>
  <si>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</si>
  <si>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</si>
  <si>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</si>
  <si>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</si>
  <si>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</si>
  <si>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</si>
  <si>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</si>
  <si>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</si>
  <si>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</si>
  <si>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</si>
  <si>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</si>
  <si>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</si>
  <si>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</si>
  <si>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</si>
  <si>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</si>
  <si>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</si>
  <si>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</si>
  <si>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</si>
  <si>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</si>
  <si>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</si>
  <si>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</si>
  <si>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</si>
  <si>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</si>
  <si>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</si>
  <si>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</si>
  <si>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</si>
  <si>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</si>
  <si>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</si>
  <si>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</si>
  <si>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</si>
  <si>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</si>
  <si>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</si>
  <si>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</si>
  <si>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</si>
  <si>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</si>
  <si>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</si>
  <si>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</si>
  <si>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</si>
  <si>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</si>
  <si>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</si>
  <si>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</si>
  <si>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</si>
  <si>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</si>
  <si>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</si>
  <si>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</si>
  <si>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</si>
  <si>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</si>
  <si>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</si>
  <si>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</si>
  <si>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</si>
  <si>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</si>
  <si>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</si>
  <si>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</si>
  <si>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</si>
  <si>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</si>
  <si>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</si>
  <si>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</si>
  <si>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</si>
  <si>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</si>
  <si>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</si>
  <si>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</si>
  <si>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</si>
  <si>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</si>
  <si>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</si>
  <si>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</si>
  <si>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</si>
  <si>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</si>
  <si>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</si>
  <si>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</si>
  <si>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</si>
  <si>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</si>
  <si>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</si>
  <si>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</si>
  <si>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</si>
  <si>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</si>
  <si>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</si>
  <si>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</si>
  <si>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</si>
  <si>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</si>
  <si>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</si>
  <si>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</si>
  <si>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</si>
  <si>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</si>
  <si>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</si>
  <si>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</si>
  <si>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</si>
  <si>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</si>
  <si>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</si>
  <si>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</si>
  <si>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</si>
  <si>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</si>
  <si>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</si>
  <si>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</si>
  <si>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</si>
  <si>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</si>
  <si>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</si>
  <si>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</si>
  <si>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</si>
  <si>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</si>
  <si>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</si>
  <si>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</si>
  <si>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</si>
  <si>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</si>
  <si>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</si>
  <si>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</si>
  <si>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</si>
  <si>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</si>
  <si>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</si>
  <si>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</si>
  <si>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</si>
  <si>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</si>
  <si>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</si>
  <si>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</si>
  <si>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</si>
  <si>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</si>
  <si>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</si>
  <si>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</si>
  <si>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</si>
  <si>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</si>
  <si>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</si>
  <si>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</si>
  <si>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</si>
  <si>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</si>
  <si>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</si>
  <si>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</si>
  <si>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</si>
  <si>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</si>
  <si>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</si>
  <si>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</si>
  <si>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</si>
  <si>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</si>
  <si>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</si>
  <si>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</si>
  <si>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</si>
  <si>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</si>
  <si>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</si>
  <si>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</si>
  <si>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</si>
  <si>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</si>
  <si>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</si>
  <si>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</si>
  <si>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</si>
  <si>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</si>
  <si>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</si>
  <si>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</si>
  <si>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</si>
  <si>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</si>
  <si>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</si>
  <si>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</si>
  <si>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</si>
  <si>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</si>
  <si>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</si>
  <si>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</si>
  <si>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</si>
  <si>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</si>
  <si>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</si>
  <si>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</si>
  <si>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</si>
  <si>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</si>
  <si>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</si>
  <si>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</si>
  <si>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</si>
  <si>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</si>
  <si>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</si>
  <si>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</si>
  <si>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</si>
  <si>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</si>
  <si>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</si>
  <si>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</si>
  <si>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</si>
  <si>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</si>
  <si>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</si>
  <si>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</si>
  <si>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</si>
  <si>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</si>
  <si>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</si>
  <si>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</si>
  <si>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</si>
  <si>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</si>
  <si>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</si>
  <si>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</si>
  <si>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</si>
  <si>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</si>
  <si>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</si>
  <si>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</si>
  <si>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</si>
  <si>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</si>
  <si>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</si>
  <si>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</si>
  <si>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</si>
  <si>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</si>
  <si>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</si>
  <si>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</si>
  <si>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</si>
  <si>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</si>
  <si>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</si>
  <si>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</si>
  <si>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</si>
  <si>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</si>
  <si>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</si>
  <si>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</si>
  <si>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</si>
  <si>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</si>
  <si>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</si>
  <si>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</si>
  <si>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</si>
  <si>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</si>
  <si>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</si>
  <si>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</si>
  <si>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</si>
  <si>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</si>
  <si>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</si>
  <si>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</si>
  <si>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</si>
  <si>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</si>
  <si>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</si>
  <si>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</si>
  <si>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</si>
  <si>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</si>
  <si>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</si>
  <si>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</si>
  <si>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</si>
  <si>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</si>
  <si>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</si>
  <si>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</si>
  <si>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</si>
  <si>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</si>
  <si>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</si>
  <si>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</si>
  <si>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</si>
  <si>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</si>
  <si>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</si>
  <si>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</si>
  <si>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</si>
  <si>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</si>
  <si>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</si>
  <si>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</si>
  <si>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</si>
  <si>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</si>
  <si>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</si>
  <si>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</si>
  <si>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</si>
  <si>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</si>
  <si>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</si>
  <si>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</si>
  <si>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</si>
  <si>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</si>
  <si>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</si>
  <si>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</si>
  <si>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</si>
  <si>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</si>
  <si>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</si>
  <si>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</si>
  <si>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</si>
  <si>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</si>
  <si>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</si>
  <si>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</si>
  <si>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</si>
  <si>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</si>
  <si>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</si>
  <si>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</si>
  <si>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</si>
  <si>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</si>
  <si>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</si>
  <si>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</si>
  <si>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</si>
  <si>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</si>
  <si>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</si>
  <si>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</si>
  <si>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</si>
  <si>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</si>
  <si>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</si>
  <si>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</si>
  <si>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</si>
  <si>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</si>
  <si>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</si>
  <si>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</si>
  <si>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</si>
  <si>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</si>
  <si>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</si>
  <si>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</si>
  <si>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</si>
  <si>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</si>
  <si>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</si>
  <si>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</si>
  <si>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</si>
  <si>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</si>
  <si>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</si>
  <si>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</si>
  <si>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</si>
  <si>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</si>
  <si>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</si>
  <si>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</si>
  <si>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</si>
  <si>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</si>
  <si>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</si>
  <si>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</si>
  <si>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</si>
  <si>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</si>
  <si>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</si>
  <si>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</si>
  <si>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</si>
  <si>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</si>
  <si>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</si>
  <si>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</si>
  <si>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</si>
  <si>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</si>
  <si>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</si>
  <si>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</si>
  <si>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</si>
  <si>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</si>
  <si>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</si>
  <si>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</si>
  <si>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</si>
  <si>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</si>
  <si>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</si>
  <si>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</si>
  <si>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</si>
  <si>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</si>
  <si>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</si>
  <si>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</si>
  <si>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</si>
  <si>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</si>
  <si>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</si>
  <si>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</si>
  <si>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</si>
  <si>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</si>
  <si>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</si>
  <si>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</si>
  <si>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</si>
  <si>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</si>
  <si>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</si>
  <si>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</si>
  <si>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</si>
  <si>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</si>
  <si>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</si>
  <si>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</si>
  <si>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</si>
  <si>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</si>
  <si>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</si>
  <si>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</si>
  <si>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</si>
  <si>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</si>
  <si>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</si>
  <si>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</si>
  <si>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</si>
  <si>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</si>
  <si>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</si>
  <si>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</si>
  <si>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</si>
  <si>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</si>
  <si>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</si>
  <si>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</si>
  <si>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</si>
  <si>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</si>
  <si>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</si>
  <si>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</si>
  <si>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</si>
  <si>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</si>
  <si>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</si>
  <si>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</si>
  <si>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</si>
  <si>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</si>
  <si>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</si>
  <si>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</si>
  <si>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</si>
  <si>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</si>
  <si>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</si>
  <si>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</si>
  <si>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</si>
  <si>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</si>
  <si>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</si>
  <si>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</si>
  <si>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</si>
  <si>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</si>
  <si>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</si>
  <si>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</si>
  <si>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</si>
  <si>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</si>
  <si>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</si>
  <si>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</si>
  <si>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</si>
  <si>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</si>
  <si>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</si>
  <si>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</si>
  <si>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</si>
  <si>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</si>
  <si>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</si>
  <si>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</si>
  <si>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</si>
  <si>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</si>
  <si>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</si>
  <si>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</si>
  <si>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</si>
  <si>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</si>
  <si>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</si>
  <si>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</si>
  <si>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</si>
  <si>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</si>
  <si>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</si>
  <si>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</si>
  <si>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</si>
  <si>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</si>
  <si>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</si>
  <si>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</si>
  <si>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</si>
  <si>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</si>
  <si>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</si>
  <si>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</si>
  <si>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</si>
  <si>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</si>
  <si>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</si>
  <si>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</si>
  <si>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</si>
  <si>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</si>
  <si>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</si>
  <si>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</si>
  <si>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</si>
  <si>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</si>
  <si>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</si>
  <si>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</si>
  <si>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</si>
  <si>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</si>
  <si>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</si>
  <si>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</si>
  <si>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</si>
  <si>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</si>
  <si>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</si>
  <si>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</si>
  <si>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</si>
  <si>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</si>
  <si>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</si>
  <si>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</si>
  <si>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</si>
  <si>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</si>
  <si>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</si>
  <si>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</si>
  <si>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</si>
  <si>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</si>
  <si>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</si>
  <si>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</si>
  <si>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</si>
  <si>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</si>
  <si>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</si>
  <si>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</si>
  <si>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</si>
  <si>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</si>
  <si>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</si>
  <si>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</si>
  <si>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</si>
  <si>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</si>
  <si>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</si>
  <si>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</si>
  <si>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</si>
  <si>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</si>
  <si>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</si>
  <si>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</si>
  <si>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</si>
  <si>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</si>
  <si>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</si>
  <si>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</si>
  <si>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</si>
  <si>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</si>
  <si>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</si>
  <si>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</si>
  <si>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</si>
  <si>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</si>
  <si>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</si>
  <si>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</si>
  <si>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</si>
  <si>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</si>
  <si>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</si>
  <si>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</si>
  <si>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</si>
  <si>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</si>
  <si>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</si>
  <si>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</si>
  <si>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</si>
  <si>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</si>
  <si>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</si>
  <si>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</si>
  <si>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</si>
  <si>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</si>
  <si>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</si>
  <si>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</si>
  <si>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</si>
  <si>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</si>
  <si>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</si>
  <si>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</si>
  <si>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</si>
  <si>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</si>
  <si>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</si>
  <si>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</si>
  <si>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</si>
  <si>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</si>
  <si>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</si>
  <si>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</si>
  <si>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</si>
  <si>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</si>
  <si>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</si>
  <si>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</si>
  <si>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</si>
  <si>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</si>
  <si>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</si>
  <si>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</si>
  <si>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</si>
  <si>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</si>
  <si>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</si>
  <si>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</si>
  <si>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</si>
  <si>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</si>
  <si>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</si>
  <si>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</si>
  <si>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</si>
  <si>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</si>
  <si>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</si>
  <si>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</si>
  <si>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</si>
  <si>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</si>
  <si>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</si>
  <si>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</si>
  <si>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</si>
  <si>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</si>
  <si>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</si>
  <si>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</si>
  <si>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</si>
  <si>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</si>
  <si>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</si>
  <si>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</si>
  <si>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</si>
  <si>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</si>
  <si>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</si>
  <si>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</si>
  <si>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</si>
  <si>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</si>
  <si>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</si>
  <si>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</si>
  <si>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</si>
  <si>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</si>
  <si>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</si>
  <si>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</si>
  <si>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</si>
  <si>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</si>
  <si>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</si>
  <si>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</si>
  <si>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</si>
  <si>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</si>
  <si>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</si>
  <si>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</si>
  <si>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</si>
  <si>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</si>
  <si>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</si>
  <si>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</si>
  <si>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</si>
  <si>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</si>
  <si>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</si>
  <si>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</si>
  <si>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</si>
  <si>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</si>
  <si>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</si>
  <si>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</si>
  <si>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</si>
  <si>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</si>
  <si>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</si>
  <si>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</si>
  <si>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</si>
  <si>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</si>
  <si>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</si>
  <si>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</si>
  <si>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</si>
  <si>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</si>
  <si>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</si>
  <si>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</si>
  <si>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</si>
  <si>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</si>
  <si>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</si>
  <si>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</si>
  <si>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</si>
  <si>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</si>
  <si>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</si>
  <si>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</si>
  <si>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</si>
  <si>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</si>
  <si>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</si>
  <si>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</si>
  <si>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</si>
  <si>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</si>
  <si>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</si>
  <si>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</si>
  <si>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</si>
  <si>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</si>
  <si>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</si>
  <si>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</si>
  <si>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</si>
  <si>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</si>
  <si>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</si>
  <si>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</si>
  <si>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</si>
  <si>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</si>
  <si>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</si>
  <si>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</si>
  <si>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</si>
  <si>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</si>
  <si>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</si>
  <si>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</si>
  <si>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</si>
  <si>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</si>
  <si>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</si>
  <si>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</si>
  <si>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</si>
  <si>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</si>
  <si>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</si>
  <si>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</si>
  <si>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</si>
  <si>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</si>
  <si>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</si>
  <si>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</si>
  <si>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</si>
  <si>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</si>
  <si>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</si>
  <si>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</si>
  <si>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</si>
  <si>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</si>
  <si>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</si>
  <si>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</si>
  <si>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</si>
  <si>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</si>
  <si>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</si>
  <si>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</si>
  <si>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</si>
  <si>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</si>
  <si>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</si>
  <si>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</si>
  <si>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</si>
  <si>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</si>
  <si>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</si>
  <si>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</si>
  <si>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</si>
  <si>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</si>
  <si>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</si>
  <si>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</si>
  <si>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</si>
  <si>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</si>
  <si>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</si>
  <si>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</si>
  <si>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</si>
  <si>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</si>
  <si>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</si>
  <si>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</si>
  <si>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</si>
  <si>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</si>
  <si>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</si>
  <si>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</si>
  <si>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</si>
  <si>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</si>
  <si>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</si>
  <si>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</si>
  <si>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</si>
  <si>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</si>
  <si>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</si>
  <si>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</si>
  <si>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</si>
  <si>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</si>
  <si>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</si>
  <si>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</si>
  <si>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</si>
  <si>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</si>
  <si>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</si>
  <si>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</si>
  <si>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</si>
  <si>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</si>
  <si>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</si>
  <si>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</si>
  <si>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</si>
  <si>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</si>
  <si>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</si>
  <si>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</si>
  <si>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</si>
  <si>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</si>
  <si>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</si>
  <si>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</si>
  <si>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</si>
  <si>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</si>
  <si>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</si>
  <si>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</si>
  <si>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</si>
  <si>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</si>
  <si>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</si>
  <si>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</si>
  <si>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</si>
  <si>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</si>
  <si>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</si>
  <si>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</si>
  <si>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</si>
  <si>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</si>
  <si>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</si>
  <si>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</si>
  <si>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</si>
  <si>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</si>
  <si>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</si>
  <si>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</si>
  <si>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</si>
  <si>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</si>
  <si>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</si>
  <si>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</si>
  <si>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</si>
  <si>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</si>
  <si>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</si>
  <si>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</si>
  <si>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</si>
  <si>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</si>
  <si>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</si>
  <si>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</si>
  <si>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</si>
  <si>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</si>
  <si>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</si>
  <si>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</si>
  <si>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</si>
  <si>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</si>
  <si>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</si>
  <si>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</si>
  <si>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</si>
  <si>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</si>
  <si>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</si>
  <si>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</si>
  <si>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</si>
  <si>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</si>
  <si>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</si>
  <si>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</si>
  <si>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</si>
  <si>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</si>
  <si>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</si>
  <si>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</si>
  <si>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</si>
  <si>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</si>
  <si>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</si>
  <si>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</si>
  <si>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</si>
  <si>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</si>
  <si>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</si>
  <si>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</si>
  <si>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</si>
  <si>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</si>
  <si>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</si>
  <si>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</si>
  <si>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</si>
  <si>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</si>
  <si>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</si>
  <si>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</si>
  <si>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</si>
  <si>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</si>
  <si>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</si>
  <si>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</si>
  <si>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</si>
  <si>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</si>
  <si>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</si>
  <si>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</si>
  <si>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</si>
  <si>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</si>
  <si>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</si>
  <si>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</si>
  <si>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</si>
  <si>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</si>
  <si>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</si>
  <si>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</si>
  <si>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</si>
  <si>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</si>
  <si>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</si>
  <si>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</si>
  <si>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</si>
  <si>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</si>
  <si>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</si>
  <si>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</si>
  <si>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</si>
  <si>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</si>
  <si>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</si>
  <si>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</si>
  <si>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</si>
  <si>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</si>
  <si>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</si>
  <si>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</si>
  <si>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</si>
  <si>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</si>
  <si>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</si>
  <si>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</si>
  <si>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</si>
  <si>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</si>
  <si>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</si>
  <si>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</si>
  <si>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</si>
  <si>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</si>
  <si>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</si>
  <si>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</si>
  <si>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</si>
  <si>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</si>
  <si>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</si>
  <si>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</si>
  <si>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</si>
  <si>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</si>
  <si>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</si>
  <si>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</si>
  <si>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</si>
  <si>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</si>
  <si>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</si>
  <si>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</si>
  <si>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</si>
  <si>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</si>
  <si>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</si>
  <si>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</si>
  <si>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</si>
  <si>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</si>
  <si>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</si>
  <si>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</si>
  <si>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</si>
  <si>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</si>
  <si>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</si>
  <si>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</si>
  <si>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</si>
  <si>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</si>
  <si>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</si>
  <si>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</si>
  <si>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</si>
  <si>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</si>
  <si>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</si>
  <si>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</si>
  <si>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</si>
  <si>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</si>
  <si>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</si>
  <si>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</si>
  <si>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</si>
  <si>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</si>
  <si>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</si>
  <si>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</si>
  <si>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</si>
  <si>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</si>
  <si>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</si>
  <si>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</si>
  <si>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</si>
  <si>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</si>
  <si>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</si>
  <si>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</si>
  <si>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</si>
  <si>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</si>
  <si>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</si>
  <si>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</si>
  <si>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</si>
  <si>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</si>
  <si>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</si>
  <si>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</si>
  <si>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</si>
  <si>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</si>
  <si>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</si>
  <si>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</si>
  <si>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</si>
  <si>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</si>
  <si>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</si>
  <si>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</si>
  <si>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</si>
  <si>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</si>
  <si>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</si>
  <si>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</si>
  <si>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</si>
  <si>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</si>
  <si>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</si>
  <si>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</si>
  <si>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</si>
  <si>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</si>
  <si>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</si>
  <si>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</si>
  <si>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</si>
  <si>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</si>
  <si>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</si>
  <si>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</si>
  <si>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</si>
  <si>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</si>
  <si>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</si>
  <si>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</si>
  <si>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</si>
  <si>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</si>
  <si>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</si>
  <si>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</si>
  <si>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</si>
  <si>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</si>
  <si>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</si>
  <si>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</si>
  <si>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</si>
  <si>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</si>
  <si>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</si>
  <si>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</si>
  <si>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</si>
  <si>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</si>
  <si>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</si>
  <si>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</si>
  <si>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</si>
  <si>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</si>
  <si>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</si>
  <si>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</si>
  <si>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</si>
  <si>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</si>
  <si>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</si>
  <si>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</si>
  <si>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</si>
  <si>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</si>
  <si>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</si>
  <si>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</si>
  <si>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</si>
  <si>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</si>
  <si>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</si>
  <si>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</si>
  <si>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</si>
  <si>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</si>
  <si>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</si>
  <si>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</si>
  <si>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</si>
  <si>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</si>
  <si>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</si>
  <si>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</si>
  <si>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</si>
  <si>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</si>
  <si>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</si>
  <si>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</si>
  <si>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</si>
  <si>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</si>
  <si>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</si>
  <si>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</si>
  <si>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</si>
  <si>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</si>
  <si>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</si>
  <si>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</si>
  <si>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</si>
  <si>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</si>
  <si>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</si>
  <si>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</si>
  <si>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</si>
  <si>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</si>
  <si>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</si>
  <si>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</si>
  <si>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</si>
  <si>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</si>
  <si>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</si>
  <si>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</si>
  <si>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</si>
  <si>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</si>
  <si>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</si>
  <si>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</si>
  <si>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</si>
  <si>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</si>
  <si>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</si>
  <si>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</si>
  <si>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</si>
  <si>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</si>
  <si>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</si>
  <si>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</si>
  <si>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</si>
  <si>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</si>
  <si>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</si>
  <si>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</si>
  <si>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</si>
  <si>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</si>
  <si>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</si>
  <si>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</si>
  <si>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</si>
  <si>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</si>
  <si>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</si>
  <si>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</si>
  <si>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</si>
  <si>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</si>
  <si>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</si>
  <si>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</si>
  <si>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</si>
  <si>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</si>
  <si>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</si>
  <si>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</si>
  <si>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</si>
  <si>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</si>
  <si>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</si>
  <si>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</si>
  <si>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</si>
  <si>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</si>
  <si>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</si>
  <si>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</si>
  <si>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</si>
  <si>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</si>
  <si>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</si>
  <si>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</si>
  <si>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</si>
  <si>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</si>
  <si>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</si>
  <si>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</si>
  <si>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</si>
  <si>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</si>
  <si>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</si>
  <si>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</si>
  <si>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</si>
  <si>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</si>
  <si>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</si>
  <si>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</si>
  <si>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</si>
  <si>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</si>
  <si>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</si>
  <si>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</si>
  <si>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</si>
  <si>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</si>
  <si>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</si>
  <si>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</si>
  <si>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</si>
  <si>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</si>
  <si>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</si>
  <si>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</si>
  <si>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</si>
  <si>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</si>
  <si>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</si>
  <si>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</si>
  <si>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</si>
  <si>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</si>
  <si>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</si>
  <si>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</si>
  <si>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</si>
  <si>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</si>
  <si>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</si>
  <si>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</si>
  <si>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</si>
  <si>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</si>
  <si>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</si>
  <si>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</si>
  <si>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</si>
  <si>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</si>
  <si>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</si>
  <si>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</si>
  <si>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</si>
  <si>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</si>
  <si>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</si>
  <si>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</si>
  <si>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</si>
  <si>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</si>
  <si>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</si>
  <si>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</si>
  <si>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</si>
  <si>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</si>
  <si>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</si>
  <si>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</si>
  <si>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</si>
  <si>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</si>
  <si>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</si>
  <si>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</si>
  <si>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</si>
  <si>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</si>
  <si>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</si>
  <si>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</si>
  <si>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</si>
  <si>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</si>
  <si>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</si>
  <si>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</si>
  <si>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</si>
  <si>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</si>
  <si>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</si>
  <si>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</si>
  <si>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</si>
  <si>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</si>
  <si>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</si>
  <si>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</si>
  <si>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</si>
  <si>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</si>
  <si>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</si>
  <si>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</si>
  <si>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</si>
  <si>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</si>
  <si>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</si>
  <si>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</si>
  <si>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</si>
  <si>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</si>
  <si>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</si>
  <si>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</si>
  <si>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</si>
  <si>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</si>
  <si>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</si>
  <si>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</si>
  <si>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</si>
  <si>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</si>
  <si>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</si>
  <si>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</si>
  <si>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</si>
  <si>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</si>
  <si>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</si>
  <si>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</si>
  <si>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</si>
  <si>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</si>
  <si>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</si>
  <si>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</si>
  <si>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</si>
  <si>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</si>
  <si>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</si>
  <si>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</si>
  <si>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</si>
  <si>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</si>
  <si>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</si>
  <si>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</si>
  <si>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</si>
  <si>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</si>
  <si>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</si>
  <si>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</si>
  <si>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</si>
  <si>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</si>
  <si>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</si>
  <si>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</si>
  <si>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</si>
  <si>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</si>
  <si>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</si>
  <si>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</si>
  <si>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</si>
  <si>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</si>
  <si>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</si>
  <si>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</si>
  <si>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</si>
  <si>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</si>
  <si>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</si>
  <si>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</si>
  <si>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</si>
  <si>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</si>
  <si>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</si>
  <si>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</si>
  <si>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</si>
  <si>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</si>
  <si>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</si>
  <si>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</si>
  <si>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</si>
  <si>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</si>
  <si>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</si>
  <si>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</si>
  <si>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</si>
  <si>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</si>
  <si>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</si>
  <si>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</si>
  <si>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</si>
  <si>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</si>
  <si>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</si>
  <si>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</si>
  <si>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</si>
  <si>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</si>
  <si>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</si>
  <si>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</si>
  <si>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</si>
  <si>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</si>
  <si>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</si>
  <si>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</si>
  <si>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</si>
  <si>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</si>
  <si>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</si>
  <si>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</si>
  <si>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</si>
  <si>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</si>
  <si>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</si>
  <si>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</si>
  <si>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</si>
  <si>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</si>
  <si>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</si>
  <si>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</si>
  <si>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</si>
  <si>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</si>
  <si>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</si>
  <si>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</si>
  <si>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</si>
  <si>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</si>
  <si>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</si>
  <si>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</si>
  <si>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</si>
  <si>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</si>
  <si>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</si>
  <si>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</si>
  <si>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</si>
  <si>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</si>
  <si>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</si>
  <si>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</si>
  <si>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</si>
  <si>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</si>
  <si>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</si>
  <si>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</si>
  <si>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</si>
  <si>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</si>
  <si>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</si>
  <si>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</si>
  <si>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</si>
  <si>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</si>
  <si>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</si>
  <si>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</si>
  <si>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</si>
  <si>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</si>
  <si>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</si>
  <si>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</si>
  <si>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</si>
  <si>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</si>
  <si>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</si>
  <si>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</si>
  <si>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</si>
  <si>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</si>
  <si>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</si>
  <si>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</si>
  <si>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</si>
  <si>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</si>
  <si>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</si>
  <si>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</si>
  <si>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</si>
  <si>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</si>
  <si>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</si>
  <si>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</si>
  <si>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</si>
  <si>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</si>
  <si>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</si>
  <si>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</si>
  <si>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</si>
  <si>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</si>
  <si>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</si>
  <si>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</si>
  <si>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</si>
  <si>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</si>
  <si>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</si>
  <si>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</si>
  <si>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</si>
  <si>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</si>
  <si>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</si>
  <si>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</si>
  <si>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</si>
  <si>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</si>
  <si>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</si>
  <si>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</si>
  <si>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</si>
  <si>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</si>
  <si>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</si>
  <si>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</si>
  <si>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</si>
  <si>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</si>
  <si>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</si>
  <si>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</si>
  <si>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</si>
  <si>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</si>
  <si>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</si>
  <si>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</si>
  <si>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</si>
  <si>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</si>
  <si>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</si>
  <si>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</si>
  <si>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</si>
  <si>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</si>
  <si>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</si>
  <si>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</si>
  <si>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</si>
  <si>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</si>
  <si>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</si>
  <si>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</si>
  <si>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</si>
  <si>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</si>
  <si>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</si>
  <si>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</si>
  <si>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</si>
  <si>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</si>
  <si>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</si>
  <si>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</si>
  <si>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</si>
  <si>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</si>
  <si>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</si>
  <si>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</si>
  <si>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</si>
  <si>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</si>
  <si>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</si>
  <si>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</si>
  <si>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</si>
  <si>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</si>
  <si>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</si>
  <si>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</si>
  <si>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</si>
  <si>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</si>
  <si>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</si>
  <si>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</si>
  <si>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</si>
  <si>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</si>
  <si>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</si>
  <si>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</si>
  <si>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</si>
  <si>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</si>
  <si>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</si>
  <si>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</si>
  <si>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</si>
  <si>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</si>
  <si>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</si>
  <si>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</si>
  <si>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</si>
  <si>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</si>
  <si>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</si>
  <si>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</si>
  <si>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</si>
  <si>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</si>
  <si>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</si>
  <si>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</si>
  <si>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</si>
  <si>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</si>
  <si>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</si>
  <si>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</si>
  <si>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</si>
  <si>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</si>
  <si>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</si>
  <si>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</si>
  <si>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</si>
  <si>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</si>
  <si>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</si>
  <si>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</si>
  <si>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</si>
  <si>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</si>
  <si>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</si>
  <si>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</si>
  <si>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</si>
  <si>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</si>
  <si>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</si>
  <si>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</si>
  <si>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</si>
  <si>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</si>
  <si>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</si>
  <si>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</si>
  <si>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</si>
  <si>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</si>
  <si>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</si>
  <si>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</si>
  <si>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</si>
  <si>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</si>
  <si>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</si>
  <si>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</si>
  <si>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</si>
  <si>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</si>
  <si>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</si>
  <si>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</si>
  <si>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</si>
  <si>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</si>
  <si>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</si>
  <si>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</si>
  <si>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</si>
  <si>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</si>
  <si>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</si>
  <si>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</si>
  <si>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</si>
  <si>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</si>
  <si>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</si>
  <si>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</si>
  <si>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</si>
  <si>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</si>
  <si>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</si>
  <si>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</si>
  <si>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</si>
  <si>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</si>
  <si>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</si>
  <si>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</si>
  <si>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</si>
  <si>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</si>
  <si>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</si>
  <si>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</si>
  <si>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</si>
  <si>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</si>
  <si>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</si>
  <si>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</si>
  <si>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</si>
  <si>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</si>
  <si>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</si>
  <si>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</si>
  <si>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</si>
  <si>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</si>
  <si>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</si>
  <si>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</si>
  <si>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</si>
  <si>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</si>
  <si>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</si>
  <si>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</si>
  <si>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</si>
  <si>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</si>
  <si>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</si>
  <si>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</si>
  <si>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</si>
  <si>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</si>
  <si>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</si>
  <si>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</si>
  <si>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</si>
  <si>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</si>
  <si>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</si>
  <si>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</si>
  <si>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</si>
  <si>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</si>
  <si>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</si>
  <si>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</si>
  <si>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</si>
  <si>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</si>
  <si>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</si>
  <si>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</si>
  <si>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</si>
  <si>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</si>
  <si>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</si>
  <si>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</si>
  <si>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</si>
  <si>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</si>
  <si>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</si>
  <si>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</si>
  <si>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</si>
  <si>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</si>
  <si>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</si>
  <si>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</si>
  <si>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</si>
  <si>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</si>
  <si>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</si>
  <si>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</si>
  <si>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</si>
  <si>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</si>
  <si>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</si>
  <si>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</si>
  <si>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</si>
  <si>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</si>
  <si>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</si>
  <si>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</si>
  <si>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</si>
  <si>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</si>
  <si>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</si>
  <si>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</si>
  <si>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</si>
  <si>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</si>
  <si>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</si>
  <si>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</si>
  <si>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</si>
  <si>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</si>
  <si>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</si>
  <si>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</si>
  <si>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</si>
  <si>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</si>
  <si>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</si>
  <si>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</si>
  <si>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</si>
  <si>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</si>
  <si>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</si>
  <si>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</si>
  <si>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</si>
  <si>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</si>
  <si>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</si>
  <si>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</si>
  <si>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</si>
  <si>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</si>
  <si>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</si>
  <si>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</si>
  <si>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</si>
  <si>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</si>
  <si>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</si>
  <si>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</si>
  <si>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</si>
  <si>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</si>
  <si>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</si>
  <si>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</si>
  <si>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</si>
  <si>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</si>
  <si>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</si>
  <si>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</si>
  <si>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</si>
  <si>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</si>
  <si>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</si>
  <si>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</si>
  <si>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</si>
  <si>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</si>
  <si>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</si>
  <si>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</si>
  <si>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</si>
  <si>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</si>
  <si>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</si>
  <si>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</si>
  <si>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</si>
  <si>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</si>
  <si>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</si>
  <si>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</si>
  <si>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</si>
  <si>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</si>
  <si>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</si>
  <si>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</si>
  <si>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</si>
  <si>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</si>
  <si>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</si>
  <si>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</si>
  <si>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</si>
  <si>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</si>
  <si>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</si>
  <si>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</si>
  <si>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</si>
  <si>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</si>
  <si>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</si>
  <si>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</si>
  <si>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</si>
  <si>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</si>
  <si>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</si>
  <si>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</si>
  <si>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</si>
  <si>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</si>
  <si>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</si>
  <si>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</si>
  <si>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</si>
  <si>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</si>
  <si>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</si>
  <si>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</si>
  <si>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</si>
  <si>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</si>
  <si>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</si>
  <si>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</si>
  <si>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</si>
  <si>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</si>
  <si>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</si>
  <si>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</si>
  <si>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</si>
  <si>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</si>
  <si>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</si>
  <si>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</si>
  <si>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</si>
  <si>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</si>
  <si>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</si>
  <si>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</si>
  <si>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</si>
  <si>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</si>
  <si>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</si>
  <si>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</si>
  <si>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</si>
  <si>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</si>
  <si>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</si>
  <si>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</si>
  <si>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</si>
  <si>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</si>
  <si>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</si>
  <si>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</si>
  <si>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</si>
  <si>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</si>
  <si>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</si>
  <si>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</si>
  <si>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</si>
  <si>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</si>
  <si>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</si>
  <si>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</si>
  <si>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</si>
  <si>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</si>
  <si>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</si>
  <si>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</si>
  <si>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</si>
  <si>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</si>
  <si>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</si>
  <si>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</si>
  <si>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</si>
  <si>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</si>
  <si>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</si>
  <si>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</si>
  <si>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</si>
  <si>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</si>
  <si>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</si>
  <si>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</si>
  <si>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</si>
  <si>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</si>
  <si>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</si>
  <si>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</si>
  <si>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</si>
  <si>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</si>
  <si>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</si>
  <si>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</si>
  <si>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</si>
  <si>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</si>
  <si>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</si>
  <si>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</si>
  <si>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</si>
  <si>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</si>
  <si>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</si>
  <si>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</si>
  <si>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</si>
  <si>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</si>
  <si>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</si>
  <si>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</si>
  <si>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</si>
  <si>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</si>
  <si>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</si>
  <si>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</si>
  <si>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</si>
  <si>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</si>
  <si>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</si>
  <si>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</si>
  <si>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</si>
  <si>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</si>
  <si>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</si>
  <si>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</si>
  <si>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</si>
  <si>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</si>
  <si>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</si>
  <si>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</si>
  <si>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</si>
  <si>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</si>
  <si>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</si>
  <si>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</si>
  <si>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</si>
  <si>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</si>
  <si>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</si>
  <si>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</si>
  <si>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</si>
  <si>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</si>
  <si>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</si>
  <si>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</si>
  <si>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</si>
  <si>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</si>
  <si>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</si>
  <si>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</si>
  <si>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</si>
  <si>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</si>
  <si>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</si>
  <si>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</si>
  <si>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</si>
  <si>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</si>
  <si>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</si>
  <si>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</si>
  <si>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</si>
  <si>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</si>
  <si>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</si>
  <si>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</si>
  <si>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</si>
  <si>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</si>
  <si>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</si>
  <si>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</si>
  <si>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</si>
  <si>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</si>
  <si>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</si>
  <si>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</si>
  <si>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</si>
  <si>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</si>
  <si>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</si>
  <si>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</si>
  <si>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</si>
  <si>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</si>
  <si>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</si>
  <si>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</si>
  <si>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</si>
  <si>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</si>
  <si>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</si>
  <si>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</si>
  <si>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</si>
  <si>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</si>
  <si>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</si>
  <si>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</si>
  <si>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</si>
  <si>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</si>
  <si>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</si>
  <si>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</si>
  <si>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</si>
  <si>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</si>
  <si>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</si>
  <si>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</si>
  <si>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</si>
  <si>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</si>
  <si>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</si>
  <si>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</si>
  <si>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</si>
  <si>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</si>
  <si>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</si>
  <si>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</si>
  <si>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</si>
  <si>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</si>
  <si>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</si>
  <si>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</si>
  <si>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</si>
  <si>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</si>
  <si>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</si>
  <si>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</si>
  <si>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</si>
  <si>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</si>
  <si>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</si>
  <si>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</si>
  <si>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</si>
  <si>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</si>
  <si>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</si>
  <si>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</si>
  <si>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</si>
  <si>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</si>
  <si>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</si>
  <si>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</si>
  <si>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</si>
  <si>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</si>
  <si>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</si>
  <si>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</si>
  <si>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</si>
  <si>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</si>
  <si>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</si>
  <si>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</si>
  <si>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</si>
  <si>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</si>
  <si>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</si>
  <si>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</si>
  <si>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</si>
  <si>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</si>
  <si>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</si>
  <si>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</si>
  <si>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</si>
  <si>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</si>
  <si>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</si>
  <si>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</si>
  <si>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</si>
  <si>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</si>
  <si>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</si>
  <si>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</si>
  <si>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</si>
  <si>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</si>
  <si>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</si>
  <si>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</si>
  <si>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</si>
  <si>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</si>
  <si>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</si>
  <si>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</si>
  <si>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</si>
  <si>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</si>
  <si>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</si>
  <si>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</si>
  <si>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</si>
  <si>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</si>
  <si>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</si>
  <si>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</si>
  <si>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</si>
  <si>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</si>
  <si>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</si>
  <si>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</si>
  <si>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</si>
  <si>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</si>
  <si>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</si>
  <si>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</si>
  <si>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</si>
  <si>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</si>
  <si>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</si>
  <si>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</si>
  <si>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</si>
  <si>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</si>
  <si>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</si>
  <si>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</si>
  <si>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</si>
  <si>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</si>
  <si>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</si>
  <si>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</si>
  <si>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</si>
  <si>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</si>
  <si>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</si>
  <si>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</si>
  <si>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</si>
  <si>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</si>
  <si>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</si>
  <si>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</si>
  <si>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</si>
  <si>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</si>
  <si>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</si>
  <si>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</si>
  <si>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</si>
  <si>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</si>
  <si>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</si>
  <si>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</si>
  <si>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</si>
  <si>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</si>
  <si>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</si>
  <si>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</si>
  <si>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</si>
  <si>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</si>
  <si>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</si>
  <si>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</si>
  <si>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</si>
  <si>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</si>
  <si>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</si>
  <si>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</si>
  <si>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</si>
  <si>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</si>
  <si>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</si>
  <si>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</si>
  <si>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</si>
  <si>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</si>
  <si>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</si>
  <si>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</si>
  <si>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</si>
  <si>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</si>
  <si>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</si>
  <si>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</si>
  <si>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</si>
  <si>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</si>
  <si>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</si>
  <si>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</si>
  <si>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</si>
  <si>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</si>
  <si>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</si>
  <si>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</si>
  <si>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</si>
  <si>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</si>
  <si>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</si>
  <si>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</si>
  <si>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</si>
  <si>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</si>
  <si>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</si>
  <si>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</si>
  <si>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</si>
  <si>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</si>
  <si>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</si>
  <si>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</si>
  <si>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</si>
  <si>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</si>
  <si>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</si>
  <si>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</si>
  <si>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</si>
  <si>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</si>
  <si>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</si>
  <si>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</si>
  <si>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</si>
  <si>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</si>
  <si>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</si>
  <si>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</si>
  <si>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</si>
  <si>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</si>
  <si>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</si>
  <si>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</si>
  <si>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</si>
  <si>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</si>
  <si>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</si>
  <si>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</si>
  <si>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</si>
  <si>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</si>
  <si>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</si>
  <si>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</si>
  <si>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</si>
  <si>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</si>
  <si>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</si>
  <si>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</si>
  <si>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</si>
  <si>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</si>
  <si>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</si>
  <si>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</si>
  <si>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</si>
  <si>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</si>
  <si>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</si>
  <si>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</si>
  <si>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</si>
  <si>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</si>
  <si>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</si>
  <si>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</si>
  <si>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</si>
  <si>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</si>
  <si>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</si>
  <si>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</si>
  <si>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</si>
  <si>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</si>
  <si>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</si>
  <si>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</si>
  <si>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</si>
  <si>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</si>
  <si>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</si>
  <si>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</si>
  <si>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</si>
  <si>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</si>
  <si>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</si>
  <si>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</si>
  <si>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</si>
  <si>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</si>
  <si>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</si>
  <si>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</si>
  <si>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</si>
  <si>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</si>
  <si>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</si>
  <si>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</si>
  <si>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</si>
  <si>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</si>
  <si>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</si>
  <si>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</si>
  <si>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</si>
  <si>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</si>
  <si>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</si>
  <si>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</si>
  <si>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</si>
  <si>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</si>
  <si>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</si>
  <si>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</si>
  <si>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</si>
  <si>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</si>
  <si>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</si>
  <si>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</si>
  <si>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</si>
  <si>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</si>
  <si>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</si>
  <si>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</si>
  <si>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</si>
  <si>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</si>
  <si>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</si>
  <si>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</si>
  <si>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</si>
  <si>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</si>
  <si>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</si>
  <si>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</si>
  <si>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</si>
  <si>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</si>
  <si>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</si>
  <si>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</si>
  <si>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</si>
  <si>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</si>
  <si>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</si>
  <si>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</si>
  <si>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</si>
  <si>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</si>
  <si>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</si>
  <si>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</si>
  <si>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</si>
  <si>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</si>
  <si>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</si>
  <si>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</si>
  <si>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</si>
  <si>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</si>
  <si>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</si>
  <si>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</si>
  <si>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</si>
  <si>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</si>
  <si>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</si>
  <si>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</si>
  <si>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</si>
  <si>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</si>
  <si>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</si>
  <si>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</si>
  <si>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</si>
  <si>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</si>
  <si>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</si>
  <si>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</si>
  <si>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</si>
  <si>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</si>
  <si>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</si>
  <si>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</si>
  <si>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</si>
  <si>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</si>
  <si>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</si>
  <si>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</si>
  <si>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</si>
  <si>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</si>
  <si>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</si>
  <si>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</si>
  <si>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</si>
  <si>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</si>
  <si>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</si>
  <si>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</si>
  <si>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</si>
  <si>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</si>
  <si>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</si>
  <si>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</si>
  <si>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</si>
  <si>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</si>
  <si>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</si>
  <si>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</si>
  <si>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</si>
  <si>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</si>
  <si>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</si>
  <si>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</si>
  <si>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</si>
  <si>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</si>
  <si>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</si>
  <si>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</si>
  <si>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</si>
  <si>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</si>
  <si>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</si>
  <si>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</si>
  <si>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</si>
  <si>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</si>
  <si>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</si>
  <si>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</si>
  <si>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</si>
  <si>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</si>
  <si>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</si>
  <si>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</si>
  <si>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</si>
  <si>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</si>
  <si>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</si>
  <si>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</si>
  <si>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</si>
  <si>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</si>
  <si>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</si>
  <si>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</si>
  <si>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</si>
  <si>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</si>
  <si>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</si>
  <si>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</si>
  <si>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</si>
  <si>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</si>
  <si>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</si>
  <si>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</si>
  <si>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</si>
  <si>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</si>
  <si>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</si>
  <si>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</si>
  <si>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</si>
  <si>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</si>
  <si>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</si>
  <si>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</si>
  <si>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</si>
  <si>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</si>
  <si>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</si>
  <si>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</si>
  <si>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</si>
  <si>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</si>
  <si>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</si>
  <si>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</si>
  <si>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</si>
  <si>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</si>
  <si>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</si>
  <si>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</si>
  <si>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</si>
  <si>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</si>
  <si>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</si>
  <si>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</si>
  <si>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</si>
  <si>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</si>
  <si>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</si>
  <si>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</si>
  <si>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</si>
  <si>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</si>
  <si>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</si>
  <si>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</si>
  <si>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</si>
  <si>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</si>
  <si>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</si>
  <si>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</si>
  <si>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</si>
  <si>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</si>
  <si>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</si>
  <si>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</si>
  <si>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</si>
  <si>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</si>
  <si>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</si>
  <si>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</si>
  <si>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</si>
  <si>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</si>
  <si>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</si>
  <si>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</si>
  <si>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</si>
  <si>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</si>
  <si>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</si>
  <si>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</si>
  <si>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</si>
  <si>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</si>
  <si>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</si>
  <si>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</si>
  <si>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</si>
  <si>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</si>
  <si>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</si>
  <si>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</si>
  <si>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</si>
  <si>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</si>
  <si>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</si>
  <si>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</si>
  <si>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</si>
  <si>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</si>
  <si>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</si>
  <si>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</si>
  <si>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</si>
  <si>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</si>
  <si>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</si>
  <si>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</si>
  <si>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</si>
  <si>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</si>
  <si>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</si>
  <si>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</si>
  <si>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</si>
  <si>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</si>
  <si>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</si>
  <si>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</si>
  <si>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</si>
  <si>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</si>
  <si>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</si>
  <si>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</si>
  <si>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</si>
  <si>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</si>
  <si>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</si>
  <si>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</si>
  <si>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</si>
  <si>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</si>
  <si>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</si>
  <si>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</si>
  <si>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</si>
  <si>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</si>
  <si>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</si>
  <si>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</si>
  <si>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</si>
  <si>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</si>
  <si>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</si>
  <si>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</si>
  <si>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</si>
  <si>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</si>
  <si>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</si>
  <si>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</si>
  <si>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</si>
  <si>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</si>
  <si>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</si>
  <si>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</si>
  <si>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</si>
  <si>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</si>
  <si>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</si>
  <si>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</si>
  <si>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</si>
  <si>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</si>
  <si>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</si>
  <si>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</si>
  <si>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</si>
  <si>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</si>
  <si>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</si>
  <si>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</si>
  <si>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</si>
  <si>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</si>
  <si>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</si>
  <si>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</si>
  <si>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</si>
  <si>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</si>
  <si>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</si>
  <si>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</si>
  <si>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</si>
  <si>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</si>
  <si>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</si>
  <si>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</si>
  <si>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</si>
  <si>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</si>
  <si>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</si>
  <si>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</si>
  <si>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</si>
  <si>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</si>
  <si>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</si>
  <si>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</si>
  <si>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</si>
  <si>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</si>
  <si>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</si>
  <si>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</si>
  <si>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</si>
  <si>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</si>
  <si>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</si>
  <si>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</si>
  <si>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</si>
  <si>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</si>
  <si>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</si>
  <si>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</si>
  <si>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</si>
  <si>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</si>
  <si>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</si>
  <si>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</si>
  <si>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</si>
  <si>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</si>
  <si>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</si>
  <si>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</si>
  <si>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</si>
  <si>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</si>
  <si>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</si>
  <si>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</si>
  <si>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</si>
  <si>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</si>
  <si>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</si>
  <si>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</si>
  <si>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</si>
  <si>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</si>
  <si>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</si>
  <si>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</si>
  <si>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</si>
  <si>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</si>
  <si>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</si>
  <si>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</si>
  <si>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</si>
  <si>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</si>
  <si>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</si>
  <si>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</si>
  <si>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</si>
  <si>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</si>
  <si>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</si>
  <si>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</si>
  <si>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</si>
  <si>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</si>
  <si>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</si>
  <si>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</si>
  <si>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</si>
  <si>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</si>
  <si>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</si>
  <si>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</si>
  <si>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</si>
  <si>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</si>
  <si>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</si>
  <si>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</si>
  <si>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</si>
  <si>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</si>
  <si>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</si>
  <si>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</si>
  <si>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</si>
  <si>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</si>
  <si>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</si>
  <si>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</si>
  <si>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</si>
  <si>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</si>
  <si>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</si>
  <si>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</si>
  <si>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</si>
  <si>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</si>
  <si>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</si>
  <si>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</si>
  <si>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</si>
  <si>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</si>
  <si>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</si>
  <si>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</si>
  <si>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</si>
  <si>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</si>
  <si>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</si>
  <si>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</si>
  <si>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</si>
  <si>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</si>
  <si>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</si>
  <si>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</si>
  <si>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</si>
  <si>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</si>
  <si>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</si>
  <si>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</si>
  <si>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</si>
  <si>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</si>
  <si>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</si>
  <si>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</si>
  <si>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</si>
  <si>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</si>
  <si>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</si>
  <si>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</si>
  <si>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</si>
  <si>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</si>
  <si>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</si>
  <si>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</si>
  <si>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</si>
  <si>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</si>
  <si>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</si>
  <si>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</si>
  <si>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</si>
  <si>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</si>
  <si>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</si>
  <si>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</si>
  <si>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</si>
  <si>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</si>
  <si>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</si>
  <si>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</si>
  <si>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</si>
  <si>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</si>
  <si>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</si>
  <si>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</si>
  <si>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</si>
  <si>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</si>
  <si>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</si>
  <si>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</si>
  <si>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</si>
  <si>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</si>
  <si>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</si>
  <si>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</si>
  <si>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</si>
  <si>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</si>
  <si>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</si>
  <si>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</si>
  <si>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</si>
  <si>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</si>
  <si>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</si>
  <si>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</si>
  <si>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</si>
  <si>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</si>
  <si>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</si>
  <si>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</si>
  <si>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</si>
  <si>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</si>
  <si>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</si>
  <si>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</si>
  <si>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</si>
  <si>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</si>
  <si>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</si>
  <si>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</si>
  <si>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</si>
  <si>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</si>
  <si>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</si>
  <si>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</si>
  <si>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</si>
  <si>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</si>
  <si>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</si>
  <si>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</si>
  <si>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</si>
  <si>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</si>
  <si>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</si>
  <si>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</si>
  <si>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</si>
  <si>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</si>
  <si>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</si>
  <si>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</si>
  <si>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</si>
  <si>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</si>
  <si>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</si>
  <si>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</si>
  <si>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</si>
  <si>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</si>
  <si>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</si>
  <si>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</si>
  <si>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</si>
  <si>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</si>
  <si>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</si>
  <si>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</si>
  <si>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</si>
  <si>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</si>
  <si>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</si>
  <si>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</si>
  <si>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</si>
  <si>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</si>
  <si>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</si>
  <si>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</si>
  <si>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</si>
  <si>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</si>
  <si>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</si>
  <si>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</si>
  <si>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</si>
  <si>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</si>
  <si>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</si>
  <si>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</si>
  <si>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</si>
  <si>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</si>
  <si>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</si>
  <si>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</si>
  <si>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</si>
  <si>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</si>
  <si>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</si>
  <si>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</si>
  <si>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</si>
  <si>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</si>
  <si>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</si>
  <si>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</si>
  <si>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</si>
  <si>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</si>
  <si>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</si>
  <si>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</si>
  <si>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</si>
  <si>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</si>
  <si>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</si>
  <si>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</si>
  <si>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</si>
  <si>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</si>
  <si>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</si>
  <si>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</si>
  <si>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</si>
  <si>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</si>
  <si>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</si>
  <si>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</si>
  <si>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</si>
  <si>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</si>
  <si>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</si>
  <si>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</si>
  <si>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</si>
  <si>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</si>
  <si>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</si>
  <si>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</si>
  <si>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</si>
  <si>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</si>
  <si>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</si>
  <si>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</si>
  <si>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</si>
  <si>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</si>
  <si>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</si>
  <si>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</si>
  <si>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</si>
  <si>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</si>
  <si>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</si>
  <si>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</si>
  <si>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</si>
  <si>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</si>
  <si>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</si>
  <si>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</si>
  <si>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</si>
  <si>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</si>
  <si>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</si>
  <si>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</si>
  <si>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</si>
  <si>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</si>
  <si>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</si>
  <si>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</si>
  <si>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</si>
  <si>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</si>
  <si>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</si>
  <si>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</si>
  <si>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</si>
  <si>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</si>
  <si>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</si>
  <si>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</si>
  <si>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</si>
  <si>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</si>
  <si>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</si>
  <si>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</si>
  <si>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</si>
  <si>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</si>
  <si>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</si>
  <si>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</si>
  <si>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</si>
  <si>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</si>
  <si>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</si>
  <si>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</si>
  <si>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</si>
  <si>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</si>
  <si>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</si>
  <si>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</si>
  <si>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</si>
  <si>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</si>
  <si>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</si>
  <si>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</si>
  <si>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</si>
  <si>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</si>
  <si>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</si>
  <si>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</si>
  <si>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</si>
  <si>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</si>
  <si>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</si>
  <si>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</si>
  <si>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</si>
  <si>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</si>
  <si>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</si>
  <si>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</si>
  <si>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</si>
  <si>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</si>
  <si>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</si>
  <si>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</si>
  <si>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</si>
  <si>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</si>
  <si>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</si>
  <si>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</si>
  <si>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</si>
  <si>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</si>
  <si>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</si>
  <si>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</si>
  <si>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</si>
  <si>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</si>
  <si>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</si>
  <si>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</si>
  <si>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</si>
  <si>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</si>
  <si>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</si>
  <si>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</si>
  <si>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</si>
  <si>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</si>
  <si>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</si>
  <si>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</si>
  <si>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</si>
  <si>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</si>
  <si>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</si>
  <si>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</si>
  <si>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</si>
  <si>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</si>
  <si>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</si>
  <si>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</si>
  <si>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</si>
  <si>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</si>
  <si>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</si>
  <si>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</si>
  <si>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</si>
  <si>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</si>
  <si>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</si>
  <si>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</si>
  <si>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</si>
  <si>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</si>
  <si>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</si>
  <si>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</si>
  <si>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</si>
  <si>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</si>
  <si>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</si>
  <si>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</si>
  <si>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</si>
  <si>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</si>
  <si>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</si>
  <si>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</si>
  <si>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</si>
  <si>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</si>
  <si>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</si>
  <si>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</si>
  <si>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</si>
  <si>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</si>
  <si>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</si>
  <si>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</si>
  <si>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</si>
  <si>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</si>
  <si>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</si>
  <si>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</si>
  <si>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</si>
  <si>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</si>
  <si>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</si>
  <si>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</si>
  <si>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</si>
  <si>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</si>
  <si>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</si>
  <si>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</si>
  <si>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</si>
  <si>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</si>
  <si>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</si>
  <si>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</si>
  <si>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</si>
  <si>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</si>
  <si>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</si>
  <si>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</si>
  <si>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</si>
  <si>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</si>
  <si>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</si>
  <si>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</si>
  <si>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</si>
  <si>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</si>
  <si>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</si>
  <si>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</si>
  <si>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</si>
  <si>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</si>
  <si>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</si>
  <si>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</si>
  <si>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</si>
  <si>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</si>
  <si>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</si>
  <si>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</si>
  <si>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</si>
  <si>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</si>
  <si>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</si>
  <si>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</si>
  <si>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</si>
  <si>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</si>
  <si>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</si>
  <si>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</si>
  <si>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</si>
  <si>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</si>
  <si>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</si>
  <si>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</si>
  <si>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</si>
  <si>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</si>
  <si>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</si>
  <si>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</si>
  <si>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</si>
  <si>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</si>
  <si>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</si>
  <si>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</si>
  <si>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</si>
  <si>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</si>
  <si>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</si>
  <si>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</si>
  <si>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</si>
  <si>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</si>
  <si>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</si>
  <si>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</si>
  <si>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</si>
  <si>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</si>
  <si>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</si>
  <si>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</si>
  <si>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</si>
  <si>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</si>
  <si>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</si>
  <si>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</si>
  <si>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</si>
  <si>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</si>
  <si>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</si>
  <si>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</si>
  <si>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</si>
  <si>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</si>
  <si>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</si>
  <si>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</si>
  <si>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</si>
  <si>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</si>
  <si>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</si>
  <si>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</si>
  <si>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</si>
  <si>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</si>
  <si>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</si>
  <si>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</si>
  <si>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</si>
  <si>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</si>
  <si>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</si>
  <si>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</si>
  <si>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</si>
  <si>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</si>
  <si>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</si>
  <si>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</si>
  <si>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</si>
  <si>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</si>
  <si>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</si>
  <si>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</si>
  <si>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</si>
  <si>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</si>
  <si>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</si>
  <si>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</si>
  <si>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</si>
  <si>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</si>
  <si>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</si>
  <si>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</si>
  <si>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</si>
  <si>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</si>
  <si>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</si>
  <si>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</si>
  <si>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</si>
  <si>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</si>
  <si>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</si>
  <si>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</si>
  <si>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</si>
  <si>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</si>
  <si>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</si>
  <si>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</si>
  <si>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</si>
  <si>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</si>
  <si>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</si>
  <si>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</si>
  <si>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</si>
  <si>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</si>
  <si>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</si>
  <si>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</si>
  <si>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</si>
  <si>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</si>
  <si>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</si>
  <si>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</si>
  <si>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</si>
  <si>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</si>
  <si>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</si>
  <si>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</si>
  <si>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</si>
  <si>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</si>
  <si>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</si>
  <si>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</si>
  <si>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</si>
  <si>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</si>
  <si>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</si>
  <si>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</si>
  <si>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</si>
  <si>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</si>
  <si>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</si>
  <si>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</si>
  <si>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</si>
  <si>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</si>
  <si>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</si>
  <si>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</si>
  <si>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</si>
  <si>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</si>
  <si>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</si>
  <si>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</si>
  <si>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</si>
  <si>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</si>
  <si>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</si>
  <si>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</si>
  <si>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</si>
  <si>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</si>
  <si>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</si>
  <si>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</si>
  <si>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</si>
  <si>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</si>
  <si>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</si>
  <si>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</si>
  <si>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</si>
  <si>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</si>
  <si>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</si>
  <si>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</si>
  <si>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</si>
  <si>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</si>
  <si>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</si>
  <si>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</si>
  <si>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</si>
  <si>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</si>
  <si>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</si>
  <si>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</si>
  <si>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</si>
  <si>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</si>
  <si>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</si>
  <si>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</si>
  <si>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</si>
  <si>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</si>
  <si>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</si>
  <si>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</si>
  <si>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</si>
  <si>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</si>
  <si>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</si>
  <si>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</si>
  <si>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</si>
  <si>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</si>
  <si>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</si>
  <si>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</si>
  <si>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</si>
  <si>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</si>
  <si>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</si>
  <si>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</si>
  <si>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</si>
  <si>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</si>
  <si>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</si>
  <si>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</si>
  <si>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</si>
  <si>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</si>
  <si>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</si>
  <si>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</si>
  <si>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</si>
  <si>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</si>
  <si>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</si>
  <si>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</si>
  <si>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</si>
  <si>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</si>
  <si>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</si>
  <si>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</si>
  <si>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</si>
  <si>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</si>
  <si>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</si>
  <si>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</si>
  <si>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</si>
  <si>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</si>
  <si>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</si>
  <si>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</si>
  <si>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</si>
  <si>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</si>
  <si>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</si>
  <si>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</si>
  <si>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</si>
  <si>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</si>
  <si>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</si>
  <si>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</si>
  <si>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</si>
  <si>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</si>
  <si>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</si>
  <si>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</si>
  <si>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</si>
  <si>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</si>
  <si>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</si>
  <si>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</si>
  <si>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</si>
  <si>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</si>
  <si>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</si>
  <si>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</si>
  <si>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</si>
  <si>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</si>
  <si>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</si>
  <si>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</si>
  <si>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</si>
  <si>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</si>
  <si>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</si>
  <si>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</si>
  <si>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</si>
  <si>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</si>
  <si>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</si>
  <si>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</si>
  <si>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</si>
  <si>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</si>
  <si>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</si>
  <si>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</si>
  <si>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</si>
  <si>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</si>
  <si>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</si>
  <si>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</si>
  <si>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</si>
  <si>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</si>
  <si>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</si>
  <si>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</si>
  <si>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</si>
  <si>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</si>
  <si>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</si>
  <si>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</si>
  <si>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</si>
  <si>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</si>
  <si>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</si>
  <si>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</si>
  <si>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</si>
  <si>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</si>
  <si>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</si>
  <si>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</si>
  <si>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</si>
  <si>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</si>
  <si>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</si>
  <si>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</si>
  <si>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</si>
  <si>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</si>
  <si>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</si>
  <si>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</si>
  <si>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</si>
  <si>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</si>
  <si>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</si>
  <si>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</si>
  <si>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</si>
  <si>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</si>
  <si>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</si>
  <si>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</si>
  <si>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</si>
  <si>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</si>
  <si>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</si>
  <si>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</si>
  <si>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</si>
  <si>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</si>
  <si>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</si>
  <si>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</si>
  <si>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</si>
  <si>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</si>
  <si>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</si>
  <si>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</si>
  <si>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</si>
  <si>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</si>
  <si>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</si>
  <si>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</si>
  <si>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</si>
  <si>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</si>
  <si>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</si>
  <si>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</si>
  <si>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</si>
  <si>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</si>
  <si>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</si>
  <si>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</si>
  <si>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</si>
  <si>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</si>
  <si>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</si>
  <si>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</si>
  <si>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</si>
  <si>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</si>
  <si>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</si>
  <si>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</si>
  <si>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</si>
  <si>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</si>
  <si>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</si>
  <si>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</si>
  <si>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</si>
  <si>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</si>
  <si>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</si>
  <si>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</si>
  <si>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</si>
  <si>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</si>
  <si>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</si>
  <si>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</si>
  <si>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</si>
  <si>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</si>
  <si>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</si>
  <si>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</si>
  <si>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</si>
  <si>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</si>
  <si>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</si>
  <si>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</si>
  <si>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</si>
  <si>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</si>
  <si>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</si>
  <si>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</si>
  <si>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</si>
  <si>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</si>
  <si>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</si>
  <si>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</si>
  <si>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</si>
  <si>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</si>
  <si>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</si>
  <si>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</si>
  <si>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</si>
  <si>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</si>
  <si>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</si>
  <si>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</si>
  <si>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</si>
  <si>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</si>
  <si>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</si>
  <si>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</si>
  <si>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</si>
  <si>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</si>
  <si>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</si>
  <si>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</si>
  <si>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</si>
  <si>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</si>
  <si>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</si>
  <si>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</si>
  <si>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</si>
  <si>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</si>
  <si>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</si>
  <si>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</si>
  <si>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</si>
  <si>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</si>
  <si>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</si>
  <si>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</si>
  <si>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</si>
  <si>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</si>
  <si>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</si>
  <si>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</si>
  <si>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</si>
  <si>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</si>
  <si>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</si>
  <si>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</si>
  <si>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</si>
  <si>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</si>
  <si>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</si>
  <si>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</si>
  <si>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</si>
  <si>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</si>
  <si>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</si>
  <si>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</si>
  <si>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</si>
  <si>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</si>
  <si>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</si>
  <si>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</si>
  <si>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</si>
  <si>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</si>
  <si>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</si>
  <si>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</si>
  <si>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</si>
  <si>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</si>
  <si>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</si>
  <si>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</si>
  <si>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</si>
  <si>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</si>
  <si>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</si>
  <si>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</si>
  <si>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</si>
  <si>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</si>
  <si>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</si>
  <si>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</si>
  <si>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</si>
  <si>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</si>
  <si>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</si>
  <si>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</si>
  <si>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</si>
  <si>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</si>
  <si>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</si>
  <si>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</si>
  <si>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</si>
  <si>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</si>
  <si>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</si>
  <si>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</si>
  <si>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</si>
  <si>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</si>
  <si>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</si>
  <si>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</si>
  <si>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</si>
  <si>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</si>
  <si>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</si>
  <si>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</si>
  <si>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</si>
  <si>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</si>
  <si>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</si>
  <si>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</si>
  <si>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</si>
  <si>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</si>
  <si>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</si>
  <si>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</si>
  <si>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</si>
  <si>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</si>
  <si>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</si>
  <si>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</si>
  <si>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</si>
  <si>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</si>
  <si>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</si>
  <si>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</si>
  <si>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</si>
  <si>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</si>
  <si>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</si>
  <si>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</si>
  <si>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</si>
  <si>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</si>
  <si>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</si>
  <si>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</si>
  <si>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</si>
  <si>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</si>
  <si>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</si>
  <si>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</si>
  <si>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</si>
  <si>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</si>
  <si>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</si>
  <si>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</si>
  <si>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</si>
  <si>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</si>
  <si>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</si>
  <si>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</si>
  <si>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</si>
  <si>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</si>
  <si>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</si>
  <si>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</si>
  <si>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</si>
  <si>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</si>
  <si>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</si>
  <si>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</si>
  <si>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</si>
  <si>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</si>
  <si>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</si>
  <si>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</si>
  <si>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</si>
  <si>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</si>
  <si>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</si>
  <si>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</si>
  <si>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</si>
  <si>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</si>
  <si>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</si>
  <si>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</si>
  <si>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</si>
  <si>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</si>
  <si>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</si>
  <si>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</si>
  <si>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</si>
  <si>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</si>
  <si>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</si>
  <si>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</si>
  <si>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</si>
  <si>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</si>
  <si>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</si>
  <si>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</si>
  <si>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</si>
  <si>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</si>
  <si>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</si>
  <si>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</si>
  <si>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</si>
  <si>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</si>
  <si>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</si>
  <si>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</si>
  <si>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</si>
  <si>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</si>
  <si>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</si>
  <si>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</si>
  <si>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</si>
  <si>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</si>
  <si>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</si>
  <si>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</si>
  <si>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</si>
  <si>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</si>
  <si>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</si>
  <si>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</si>
  <si>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</si>
  <si>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</si>
  <si>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</si>
  <si>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</si>
  <si>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</si>
  <si>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</si>
  <si>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</si>
  <si>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</si>
  <si>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</si>
  <si>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</si>
  <si>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</si>
  <si>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</si>
  <si>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</si>
  <si>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</si>
  <si>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</si>
  <si>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</si>
  <si>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</si>
  <si>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</si>
  <si>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</si>
  <si>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</si>
  <si>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</si>
  <si>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</si>
  <si>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</si>
  <si>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</si>
  <si>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</si>
  <si>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</si>
  <si>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</si>
  <si>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</si>
  <si>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</si>
  <si>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</si>
  <si>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</si>
  <si>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</si>
  <si>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</si>
  <si>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</si>
  <si>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</si>
  <si>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</si>
  <si>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</si>
  <si>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</si>
  <si>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</si>
  <si>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</si>
  <si>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</si>
  <si>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</si>
  <si>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</si>
  <si>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</si>
  <si>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</si>
  <si>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</si>
  <si>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</si>
  <si>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</si>
  <si>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</si>
  <si>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</si>
  <si>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</si>
  <si>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</si>
  <si>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</si>
  <si>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</si>
  <si>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</si>
  <si>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</si>
  <si>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</si>
  <si>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</si>
  <si>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</si>
  <si>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</si>
  <si>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</si>
  <si>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</si>
  <si>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</si>
  <si>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</si>
  <si>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</si>
  <si>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</si>
  <si>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</si>
  <si>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</si>
  <si>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</si>
  <si>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</si>
  <si>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</si>
  <si>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</si>
  <si>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</si>
  <si>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</si>
  <si>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</si>
  <si>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</si>
  <si>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</si>
  <si>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</si>
  <si>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</si>
  <si>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</si>
  <si>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</si>
  <si>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</si>
  <si>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</si>
  <si>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</si>
  <si>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</si>
  <si>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</si>
  <si>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</si>
  <si>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</si>
  <si>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</si>
  <si>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</si>
  <si>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</si>
  <si>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</si>
  <si>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</si>
  <si>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</si>
  <si>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</si>
  <si>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</si>
  <si>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</si>
  <si>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</si>
  <si>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</si>
  <si>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</si>
  <si>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</si>
  <si>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</si>
  <si>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</si>
  <si>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</si>
  <si>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</si>
  <si>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</si>
  <si>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</si>
  <si>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</si>
  <si>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</si>
  <si>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</si>
  <si>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</si>
  <si>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</si>
  <si>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</si>
  <si>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</si>
  <si>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</si>
  <si>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</si>
  <si>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</si>
  <si>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</si>
  <si>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</si>
  <si>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</si>
  <si>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</si>
  <si>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</si>
  <si>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</si>
  <si>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</si>
  <si>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</si>
  <si>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</si>
  <si>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</si>
  <si>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</si>
  <si>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</si>
  <si>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</si>
  <si>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</si>
  <si>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</si>
  <si>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</si>
  <si>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</si>
  <si>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</si>
  <si>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</si>
  <si>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</si>
  <si>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</si>
  <si>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</si>
  <si>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</si>
  <si>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</si>
  <si>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</si>
  <si>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</si>
  <si>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</si>
  <si>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</si>
  <si>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</si>
  <si>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</si>
  <si>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</si>
  <si>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</si>
  <si>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</si>
  <si>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</si>
  <si>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</si>
  <si>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</si>
  <si>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</si>
  <si>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</si>
  <si>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</si>
  <si>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</si>
  <si>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</si>
  <si>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</si>
  <si>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</si>
  <si>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</si>
  <si>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</si>
  <si>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</si>
  <si>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</si>
  <si>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</si>
  <si>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</si>
  <si>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</si>
  <si>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</si>
  <si>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</si>
  <si>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</si>
  <si>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</si>
  <si>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</si>
  <si>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</si>
  <si>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</si>
  <si>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</si>
  <si>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</si>
  <si>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</si>
  <si>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</si>
  <si>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</si>
  <si>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</si>
  <si>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</si>
  <si>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</si>
  <si>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</si>
  <si>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</si>
  <si>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</si>
  <si>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</si>
  <si>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</si>
  <si>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</si>
  <si>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</si>
  <si>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</si>
  <si>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</si>
  <si>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</si>
  <si>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</si>
  <si>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</si>
  <si>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</si>
  <si>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</si>
  <si>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</si>
  <si>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</si>
  <si>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</si>
  <si>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</si>
  <si>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</si>
  <si>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</si>
  <si>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</si>
  <si>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</si>
  <si>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</si>
  <si>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</si>
  <si>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</si>
  <si>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</si>
  <si>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</si>
  <si>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</si>
  <si>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</si>
  <si>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</si>
  <si>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</si>
  <si>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</si>
  <si>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</si>
  <si>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</si>
  <si>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</si>
  <si>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</si>
  <si>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</si>
  <si>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</si>
  <si>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</si>
  <si>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</si>
  <si>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</si>
  <si>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</si>
  <si>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</si>
  <si>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</si>
  <si>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</si>
  <si>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</si>
  <si>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</si>
  <si>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</si>
  <si>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</si>
  <si>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</si>
  <si>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</si>
  <si>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</si>
  <si>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</si>
  <si>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</si>
  <si>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</si>
  <si>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</si>
  <si>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</si>
  <si>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</si>
  <si>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</si>
  <si>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</si>
  <si>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</si>
  <si>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</si>
  <si>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</si>
  <si>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</si>
  <si>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</si>
  <si>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</si>
  <si>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</si>
  <si>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</si>
  <si>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</si>
  <si>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</si>
  <si>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</si>
  <si>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</si>
  <si>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</si>
  <si>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</si>
  <si>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</si>
  <si>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</si>
  <si>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</si>
  <si>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</si>
  <si>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</si>
  <si>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</si>
  <si>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</si>
  <si>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</si>
  <si>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</si>
  <si>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</si>
  <si>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</si>
  <si>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</si>
  <si>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</si>
  <si>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</si>
  <si>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</si>
  <si>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</si>
  <si>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</si>
  <si>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</si>
  <si>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</si>
  <si>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</si>
  <si>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</si>
  <si>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</si>
  <si>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</si>
  <si>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</si>
  <si>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</si>
  <si>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</si>
  <si>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</si>
  <si>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</si>
  <si>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</si>
  <si>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</si>
  <si>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</si>
  <si>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</si>
  <si>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</si>
  <si>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</si>
  <si>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</si>
  <si>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</si>
  <si>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</si>
  <si>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</si>
  <si>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</si>
  <si>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</si>
  <si>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</si>
  <si>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</si>
  <si>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</si>
  <si>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</si>
  <si>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</si>
  <si>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</si>
  <si>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</si>
  <si>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</si>
  <si>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</si>
  <si>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</si>
  <si>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</si>
  <si>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</si>
  <si>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</si>
  <si>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</si>
  <si>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</si>
  <si>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</si>
  <si>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</si>
  <si>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</si>
  <si>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</si>
  <si>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</si>
  <si>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</si>
  <si>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</si>
  <si>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</si>
  <si>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</si>
  <si>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</si>
  <si>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</si>
  <si>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</si>
  <si>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</si>
  <si>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</si>
  <si>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</si>
  <si>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</si>
  <si>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</si>
  <si>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</si>
  <si>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</si>
  <si>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</si>
  <si>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</si>
  <si>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</si>
  <si>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</si>
  <si>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</si>
  <si>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</si>
  <si>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</si>
  <si>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</si>
  <si>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</si>
  <si>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</si>
  <si>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</si>
  <si>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</si>
  <si>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</si>
  <si>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</si>
  <si>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</si>
  <si>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</si>
  <si>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</si>
  <si>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</si>
  <si>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</si>
  <si>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</si>
  <si>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</si>
  <si>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</si>
  <si>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</si>
  <si>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</si>
  <si>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</si>
  <si>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</si>
  <si>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</si>
  <si>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</si>
  <si>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</si>
  <si>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</si>
  <si>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</si>
  <si>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</si>
  <si>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</si>
  <si>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</si>
  <si>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</si>
  <si>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</si>
  <si>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</si>
  <si>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</si>
  <si>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</si>
  <si>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</si>
  <si>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</si>
  <si>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</si>
  <si>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</si>
  <si>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</si>
  <si>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</si>
  <si>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</si>
  <si>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</si>
  <si>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</si>
  <si>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</si>
  <si>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</si>
  <si>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</si>
  <si>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</si>
  <si>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</si>
  <si>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</si>
  <si>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</si>
  <si>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</si>
  <si>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</si>
  <si>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</si>
  <si>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</si>
  <si>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</si>
  <si>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</si>
  <si>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</si>
  <si>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</si>
  <si>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</si>
  <si>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</si>
  <si>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</si>
  <si>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</si>
  <si>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</si>
  <si>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</si>
  <si>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</si>
  <si>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</si>
  <si>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</si>
  <si>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</si>
  <si>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</si>
  <si>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</si>
  <si>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</si>
  <si>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</si>
  <si>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</si>
  <si>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</si>
  <si>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</si>
  <si>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</si>
  <si>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</si>
  <si>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</si>
  <si>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</si>
  <si>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</si>
  <si>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</si>
  <si>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</si>
  <si>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</si>
  <si>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</si>
  <si>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</si>
  <si>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</si>
  <si>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</si>
  <si>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</si>
  <si>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</si>
  <si>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</si>
  <si>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</si>
  <si>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</si>
  <si>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</si>
  <si>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</si>
  <si>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</si>
  <si>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</si>
  <si>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</si>
  <si>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</si>
  <si>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</si>
  <si>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</si>
  <si>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</si>
  <si>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</si>
  <si>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</si>
  <si>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</si>
  <si>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</si>
  <si>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</si>
  <si>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</si>
  <si>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</si>
  <si>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</si>
  <si>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</si>
  <si>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</si>
  <si>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</si>
  <si>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</si>
  <si>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</si>
  <si>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</si>
  <si>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</si>
  <si>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</si>
  <si>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</si>
  <si>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</si>
  <si>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</si>
  <si>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</si>
  <si>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</si>
  <si>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</si>
  <si>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</si>
  <si>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</si>
  <si>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</si>
  <si>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</si>
  <si>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</si>
  <si>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</si>
  <si>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</si>
  <si>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</si>
  <si>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</si>
  <si>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</si>
  <si>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</si>
  <si>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</si>
  <si>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</si>
  <si>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</si>
  <si>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</si>
  <si>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</si>
  <si>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</si>
  <si>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</si>
  <si>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</si>
  <si>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</si>
  <si>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</si>
  <si>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</si>
  <si>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</si>
  <si>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</si>
  <si>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</si>
  <si>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</si>
  <si>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</si>
  <si>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</si>
  <si>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</si>
  <si>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</si>
  <si>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</si>
  <si>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</si>
  <si>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</si>
  <si>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</si>
  <si>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</si>
  <si>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</si>
  <si>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</si>
  <si>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</si>
  <si>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</si>
  <si>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</si>
  <si>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</si>
  <si>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</si>
  <si>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</si>
  <si>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</si>
  <si>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</si>
  <si>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</si>
  <si>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</si>
  <si>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</si>
  <si>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</si>
  <si>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</si>
  <si>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</si>
  <si>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</si>
  <si>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</si>
  <si>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</si>
  <si>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</si>
  <si>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</si>
  <si>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</si>
  <si>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</si>
  <si>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</si>
  <si>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</si>
  <si>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</si>
  <si>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</si>
  <si>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</si>
  <si>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</si>
  <si>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</si>
  <si>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</si>
  <si>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</si>
  <si>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</si>
  <si>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</si>
  <si>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</si>
  <si>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</si>
  <si>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</si>
  <si>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</si>
  <si>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</si>
  <si>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</si>
  <si>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</si>
  <si>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</si>
  <si>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</si>
  <si>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</si>
  <si>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</si>
  <si>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</si>
  <si>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</si>
  <si>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</si>
  <si>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</si>
  <si>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</si>
  <si>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</si>
  <si>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</si>
  <si>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</si>
  <si>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</si>
  <si>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</si>
  <si>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</si>
  <si>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</si>
  <si>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</si>
  <si>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</si>
  <si>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</si>
  <si>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</si>
  <si>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</si>
  <si>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</si>
  <si>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</si>
  <si>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</si>
  <si>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</si>
  <si>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</si>
  <si>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</si>
  <si>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</si>
  <si>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</si>
  <si>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</si>
  <si>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</si>
  <si>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</si>
  <si>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</si>
  <si>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</si>
  <si>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</si>
  <si>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</si>
  <si>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</si>
  <si>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</si>
  <si>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</si>
  <si>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</si>
  <si>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</si>
  <si>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</si>
  <si>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</si>
  <si>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</si>
  <si>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</si>
  <si>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</si>
  <si>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</si>
  <si>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</si>
  <si>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</si>
  <si>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</si>
  <si>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</si>
  <si>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</si>
  <si>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</si>
  <si>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</si>
  <si>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</si>
  <si>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</si>
  <si>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</si>
  <si>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</si>
  <si>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</si>
  <si>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</si>
  <si>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</si>
  <si>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</si>
  <si>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</si>
  <si>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</si>
  <si>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</si>
  <si>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</si>
  <si>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</si>
  <si>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</si>
  <si>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</si>
  <si>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</si>
  <si>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</si>
  <si>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</si>
  <si>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</si>
  <si>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</si>
  <si>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</si>
  <si>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</si>
  <si>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</si>
  <si>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</si>
  <si>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</si>
  <si>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</si>
  <si>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</si>
  <si>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</si>
  <si>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</si>
  <si>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</si>
  <si>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</si>
  <si>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</si>
  <si>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</si>
  <si>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</si>
  <si>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</si>
  <si>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</si>
  <si>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</si>
  <si>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</si>
  <si>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</si>
  <si>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</si>
  <si>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</si>
  <si>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</si>
  <si>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</si>
  <si>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</si>
  <si>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</si>
  <si>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</si>
  <si>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</si>
  <si>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</si>
  <si>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</si>
  <si>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</si>
  <si>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</si>
  <si>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</si>
  <si>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</si>
  <si>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</si>
  <si>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</si>
  <si>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</si>
  <si>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</si>
  <si>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</si>
  <si>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</si>
  <si>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</si>
  <si>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</si>
  <si>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</si>
  <si>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</si>
  <si>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</si>
  <si>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</si>
  <si>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</si>
  <si>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</si>
  <si>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</si>
  <si>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</si>
  <si>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</si>
  <si>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</si>
  <si>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</si>
  <si>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</si>
  <si>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</si>
  <si>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</si>
  <si>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</si>
  <si>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</si>
  <si>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</si>
  <si>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</si>
  <si>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</si>
  <si>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</si>
  <si>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</si>
  <si>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</si>
  <si>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</si>
  <si>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</si>
  <si>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</si>
  <si>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</si>
  <si>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</si>
  <si>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</si>
  <si>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</si>
  <si>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</si>
  <si>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</si>
  <si>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</si>
  <si>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</si>
  <si>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</si>
  <si>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</si>
  <si>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</si>
  <si>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</si>
  <si>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</si>
  <si>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</si>
  <si>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</si>
  <si>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</si>
  <si>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</si>
  <si>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</si>
  <si>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</si>
  <si>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</si>
  <si>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</si>
  <si>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</si>
  <si>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</si>
  <si>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</si>
  <si>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</si>
  <si>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</si>
  <si>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</si>
  <si>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</si>
  <si>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</si>
  <si>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</si>
  <si>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</si>
  <si>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</si>
  <si>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</si>
  <si>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</si>
  <si>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</si>
  <si>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</si>
  <si>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</si>
  <si>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</si>
  <si>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</si>
  <si>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</si>
  <si>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</si>
  <si>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</si>
  <si>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</si>
  <si>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</si>
  <si>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</si>
  <si>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</si>
  <si>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</si>
  <si>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</si>
  <si>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</si>
  <si>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</si>
  <si>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</si>
  <si>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</si>
  <si>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</si>
  <si>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</si>
  <si>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</si>
  <si>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</si>
  <si>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</si>
  <si>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</si>
  <si>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</si>
  <si>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</si>
  <si>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</si>
  <si>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</si>
  <si>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</si>
  <si>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</si>
  <si>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</si>
  <si>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</si>
  <si>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</si>
  <si>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</si>
  <si>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</si>
  <si>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</si>
  <si>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</si>
  <si>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</si>
  <si>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</si>
  <si>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</si>
  <si>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</si>
  <si>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</si>
  <si>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</si>
  <si>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</si>
  <si>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</si>
  <si>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</si>
  <si>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</si>
  <si>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</si>
  <si>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</si>
  <si>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</si>
  <si>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</si>
  <si>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</si>
  <si>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</si>
  <si>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</si>
  <si>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</si>
  <si>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</si>
  <si>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</si>
  <si>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</si>
  <si>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</si>
  <si>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</si>
  <si>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</si>
  <si>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</si>
  <si>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</si>
  <si>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</si>
  <si>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</si>
  <si>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</si>
  <si>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</si>
  <si>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</si>
  <si>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</si>
  <si>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</si>
  <si>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</si>
  <si>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</si>
  <si>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</si>
  <si>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</si>
  <si>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</si>
  <si>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</si>
  <si>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</si>
  <si>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</si>
  <si>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</si>
  <si>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</si>
  <si>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</si>
  <si>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</si>
  <si>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</si>
  <si>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</si>
  <si>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</si>
  <si>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</si>
  <si>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</si>
  <si>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</si>
  <si>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</si>
  <si>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</si>
  <si>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</si>
  <si>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</si>
  <si>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</si>
  <si>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</si>
  <si>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</si>
  <si>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</si>
  <si>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</si>
  <si>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</si>
  <si>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</si>
  <si>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</si>
  <si>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</si>
  <si>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</si>
  <si>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</si>
  <si>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</si>
  <si>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</si>
  <si>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</si>
  <si>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</si>
  <si>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</si>
  <si>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</si>
  <si>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</si>
  <si>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</si>
  <si>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</si>
  <si>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</si>
  <si>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</si>
  <si>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</si>
  <si>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</si>
  <si>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</si>
  <si>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</si>
  <si>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</si>
  <si>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</si>
  <si>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</si>
  <si>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</si>
  <si>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</si>
  <si>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</si>
  <si>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</si>
  <si>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</si>
  <si>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</si>
  <si>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</si>
  <si>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</si>
  <si>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</si>
  <si>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</si>
  <si>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</si>
  <si>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</si>
  <si>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</si>
  <si>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</si>
  <si>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</si>
  <si>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</si>
  <si>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</si>
  <si>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</si>
  <si>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</si>
  <si>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</si>
  <si>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</si>
  <si>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</si>
  <si>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</si>
  <si>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</si>
  <si>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</si>
  <si>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</si>
  <si>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</si>
  <si>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</si>
  <si>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</si>
  <si>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</si>
  <si>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</si>
  <si>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</si>
  <si>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</si>
  <si>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</si>
  <si>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</si>
  <si>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</si>
  <si>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</si>
  <si>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</si>
  <si>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</si>
  <si>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</si>
  <si>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</si>
  <si>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</si>
  <si>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</si>
  <si>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</si>
  <si>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</si>
  <si>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</si>
  <si>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</si>
  <si>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</si>
  <si>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</si>
  <si>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</si>
  <si>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</si>
  <si>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</si>
  <si>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</si>
  <si>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</si>
  <si>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</si>
  <si>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</si>
  <si>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</si>
  <si>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</si>
  <si>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</si>
  <si>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</si>
  <si>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</si>
  <si>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</si>
  <si>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</si>
  <si>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</si>
  <si>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</si>
  <si>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</si>
  <si>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</si>
  <si>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</si>
  <si>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</si>
  <si>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</si>
  <si>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</si>
  <si>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</si>
  <si>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</si>
  <si>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</si>
  <si>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</si>
  <si>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</si>
  <si>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</si>
  <si>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</si>
  <si>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</si>
  <si>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</si>
  <si>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</si>
  <si>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</si>
  <si>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</si>
  <si>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</si>
  <si>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</si>
  <si>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</si>
  <si>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</si>
  <si>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</si>
  <si>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</si>
  <si>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</si>
  <si>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</si>
  <si>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</si>
  <si>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</si>
  <si>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</si>
  <si>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</si>
  <si>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</si>
  <si>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</si>
  <si>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</si>
  <si>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</si>
  <si>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</si>
  <si>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</si>
  <si>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</si>
  <si>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</si>
  <si>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</si>
  <si>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</si>
  <si>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</si>
  <si>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</si>
  <si>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</si>
  <si>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</si>
  <si>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</si>
  <si>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</si>
  <si>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</si>
  <si>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</si>
  <si>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</si>
  <si>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</si>
  <si>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</si>
  <si>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</si>
  <si>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</si>
  <si>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</si>
  <si>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</si>
  <si>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</si>
  <si>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</si>
  <si>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</si>
  <si>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</si>
  <si>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</si>
  <si>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</si>
  <si>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</si>
  <si>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</si>
  <si>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</si>
  <si>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</si>
  <si>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</si>
  <si>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</si>
  <si>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</si>
  <si>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</si>
  <si>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</si>
  <si>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</si>
  <si>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</si>
  <si>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</si>
  <si>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</si>
  <si>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</si>
  <si>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</si>
  <si>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</si>
  <si>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</si>
  <si>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</si>
  <si>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</si>
  <si>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</si>
  <si>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</si>
  <si>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</si>
  <si>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</si>
  <si>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</si>
  <si>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</si>
  <si>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</si>
  <si>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</si>
  <si>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</si>
  <si>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</si>
  <si>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</si>
  <si>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</si>
  <si>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</si>
  <si>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</si>
  <si>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</si>
  <si>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</si>
  <si>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</si>
  <si>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</si>
  <si>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</si>
  <si>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</si>
  <si>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</si>
  <si>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</si>
  <si>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</si>
  <si>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</si>
  <si>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</si>
  <si>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</si>
  <si>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</si>
  <si>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</si>
  <si>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</si>
  <si>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</si>
  <si>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</si>
  <si>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</si>
  <si>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</si>
  <si>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</si>
  <si>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</si>
  <si>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</si>
  <si>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</si>
  <si>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</si>
  <si>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</si>
  <si>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</si>
  <si>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</si>
  <si>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</si>
  <si>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</si>
  <si>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</si>
  <si>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</si>
  <si>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</si>
  <si>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</si>
  <si>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</si>
  <si>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</si>
  <si>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</si>
  <si>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</si>
  <si>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</si>
  <si>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</si>
  <si>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</si>
  <si>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</si>
  <si>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</si>
  <si>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</si>
  <si>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</si>
  <si>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</si>
  <si>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</si>
  <si>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</si>
  <si>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</si>
  <si>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</si>
  <si>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</si>
  <si>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</si>
  <si>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</si>
  <si>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</si>
  <si>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</si>
  <si>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</si>
  <si>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</si>
  <si>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</si>
  <si>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</si>
  <si>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</si>
  <si>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</si>
  <si>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</si>
  <si>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</si>
  <si>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</si>
  <si>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</si>
  <si>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</si>
  <si>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</si>
  <si>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</si>
  <si>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</si>
  <si>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</si>
  <si>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</si>
  <si>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</si>
  <si>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</si>
  <si>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</si>
  <si>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</si>
  <si>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</si>
  <si>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</si>
  <si>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</si>
  <si>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</si>
  <si>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</si>
  <si>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</si>
  <si>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</si>
  <si>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</si>
  <si>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</si>
  <si>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</si>
  <si>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</si>
  <si>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</si>
  <si>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</si>
  <si>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</si>
  <si>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</si>
  <si>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</si>
  <si>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</si>
  <si>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</si>
  <si>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</si>
  <si>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</si>
  <si>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</si>
  <si>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</si>
  <si>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</si>
  <si>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</si>
  <si>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</si>
  <si>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</si>
  <si>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</si>
  <si>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</si>
  <si>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</si>
  <si>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</si>
  <si>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</si>
  <si>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</si>
  <si>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</si>
  <si>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</si>
  <si>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</si>
  <si>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</si>
  <si>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</si>
  <si>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</si>
  <si>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</si>
  <si>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</si>
  <si>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</si>
  <si>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</si>
  <si>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</si>
  <si>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</si>
  <si>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</si>
  <si>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</si>
  <si>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</si>
  <si>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</si>
  <si>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</si>
  <si>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</si>
  <si>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</si>
  <si>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</si>
  <si>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</si>
  <si>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</si>
  <si>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</si>
  <si>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</si>
  <si>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</si>
  <si>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</si>
  <si>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</si>
  <si>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</si>
  <si>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</si>
  <si>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</si>
  <si>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</si>
  <si>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</si>
  <si>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</si>
  <si>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</si>
  <si>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</si>
  <si>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</si>
  <si>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</si>
  <si>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</si>
  <si>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</si>
  <si>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</si>
  <si>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</si>
  <si>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</si>
  <si>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</si>
  <si>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</si>
  <si>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</si>
  <si>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</si>
  <si>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</si>
  <si>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</si>
  <si>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</si>
  <si>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</si>
  <si>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</si>
  <si>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</si>
  <si>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</si>
  <si>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</si>
  <si>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</si>
  <si>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</si>
  <si>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</si>
  <si>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</si>
  <si>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</si>
  <si>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</si>
  <si>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</si>
  <si>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</si>
  <si>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</si>
  <si>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</si>
  <si>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</si>
  <si>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</si>
  <si>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</si>
  <si>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</si>
  <si>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</si>
  <si>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</si>
  <si>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</si>
  <si>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</si>
  <si>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</si>
  <si>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</si>
  <si>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</si>
  <si>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</si>
  <si>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</si>
  <si>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</si>
  <si>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</si>
  <si>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</si>
  <si>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</si>
  <si>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</si>
  <si>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</si>
  <si>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</si>
  <si>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</si>
  <si>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</si>
  <si>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</si>
  <si>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</si>
  <si>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</si>
  <si>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</si>
  <si>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</si>
  <si>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</si>
  <si>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</si>
  <si>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</si>
  <si>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</si>
  <si>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</si>
  <si>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</si>
  <si>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</si>
  <si>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</si>
  <si>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</si>
  <si>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</si>
  <si>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</si>
  <si>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</si>
  <si>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</si>
  <si>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</si>
  <si>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</si>
  <si>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</si>
  <si>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</si>
  <si>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</si>
  <si>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</si>
  <si>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</si>
  <si>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</si>
  <si>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</si>
  <si>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</si>
  <si>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</si>
  <si>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</si>
  <si>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</si>
  <si>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</si>
  <si>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</si>
  <si>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</si>
  <si>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</si>
  <si>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</si>
  <si>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</si>
  <si>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</si>
  <si>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</si>
  <si>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</si>
  <si>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</si>
  <si>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</si>
  <si>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</si>
  <si>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</si>
  <si>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</si>
  <si>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</si>
  <si>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</si>
  <si>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</si>
  <si>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</si>
  <si>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</si>
  <si>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</si>
  <si>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</si>
  <si>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</si>
  <si>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</si>
  <si>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</si>
  <si>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</si>
  <si>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</si>
  <si>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</si>
  <si>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</si>
  <si>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</si>
  <si>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</si>
  <si>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</si>
  <si>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</si>
  <si>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</si>
  <si>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</si>
  <si>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</si>
  <si>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</si>
  <si>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</si>
  <si>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</si>
  <si>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</si>
  <si>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</si>
  <si>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</si>
  <si>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</si>
  <si>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</si>
  <si>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</si>
  <si>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</si>
  <si>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</si>
  <si>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</si>
  <si>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</si>
  <si>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</si>
  <si>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</si>
  <si>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</si>
  <si>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</si>
  <si>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</si>
  <si>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</si>
  <si>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</si>
  <si>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</si>
  <si>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</si>
  <si>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</si>
  <si>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</si>
  <si>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</si>
  <si>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</si>
  <si>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</si>
  <si>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</si>
  <si>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</si>
  <si>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</si>
  <si>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</si>
  <si>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</si>
  <si>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</si>
  <si>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</si>
  <si>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</si>
  <si>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</si>
  <si>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</si>
  <si>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</si>
  <si>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</si>
  <si>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</si>
  <si>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</si>
  <si>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</si>
  <si>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</si>
  <si>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</si>
  <si>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</si>
  <si>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</si>
  <si>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</si>
  <si>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</si>
  <si>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</si>
  <si>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</si>
  <si>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</si>
  <si>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</si>
  <si>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</si>
  <si>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</si>
  <si>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</si>
  <si>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</si>
  <si>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</si>
  <si>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</si>
  <si>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</si>
  <si>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</si>
  <si>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</si>
  <si>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</si>
  <si>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</si>
  <si>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</si>
  <si>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</si>
  <si>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</si>
  <si>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</si>
  <si>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</si>
  <si>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</si>
  <si>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</si>
  <si>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</si>
  <si>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</si>
  <si>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</si>
  <si>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</si>
  <si>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</si>
  <si>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</si>
  <si>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</si>
  <si>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</si>
  <si>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</si>
  <si>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</si>
  <si>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</si>
  <si>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</si>
  <si>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</si>
  <si>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</si>
  <si>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</si>
  <si>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</si>
  <si>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</si>
  <si>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</si>
  <si>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</si>
  <si>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</si>
  <si>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</si>
  <si>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</si>
  <si>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</si>
  <si>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</si>
  <si>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</si>
  <si>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</si>
  <si>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</si>
  <si>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</si>
  <si>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</si>
  <si>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</si>
  <si>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</si>
  <si>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</si>
  <si>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</si>
  <si>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</si>
  <si>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</si>
  <si>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</si>
  <si>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</si>
  <si>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</si>
  <si>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</si>
  <si>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</si>
  <si>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</si>
  <si>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</si>
  <si>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</si>
  <si>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</si>
  <si>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</si>
  <si>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</si>
  <si>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</si>
  <si>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</si>
  <si>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</si>
  <si>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</si>
  <si>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</si>
  <si>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</si>
  <si>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</si>
  <si>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</si>
  <si>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</si>
  <si>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</si>
  <si>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</si>
  <si>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</si>
  <si>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</si>
  <si>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</si>
  <si>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</si>
  <si>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</si>
  <si>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</si>
  <si>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</si>
  <si>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</si>
  <si>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</si>
  <si>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</si>
  <si>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</si>
  <si>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</si>
  <si>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</si>
  <si>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</si>
  <si>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</si>
  <si>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</si>
  <si>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</si>
  <si>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</si>
  <si>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</si>
  <si>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</si>
  <si>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</si>
  <si>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</si>
  <si>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</si>
  <si>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</si>
  <si>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</si>
  <si>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</si>
  <si>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</si>
  <si>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</si>
  <si>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</si>
  <si>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</si>
  <si>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</si>
  <si>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</si>
  <si>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</si>
  <si>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</si>
  <si>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</si>
  <si>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</si>
  <si>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</si>
  <si>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</si>
  <si>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</si>
  <si>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</si>
  <si>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</si>
  <si>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</si>
  <si>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</si>
  <si>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</si>
  <si>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</si>
  <si>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</si>
  <si>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</si>
  <si>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</si>
  <si>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</si>
  <si>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</si>
  <si>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</si>
  <si>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</si>
  <si>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</si>
  <si>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</si>
  <si>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</si>
  <si>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</si>
  <si>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</si>
  <si>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</si>
  <si>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</si>
  <si>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</si>
  <si>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</si>
  <si>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</si>
  <si>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</si>
  <si>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</si>
  <si>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</si>
  <si>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</si>
  <si>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</si>
  <si>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</si>
  <si>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</si>
  <si>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</si>
  <si>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</si>
  <si>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</si>
  <si>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</si>
  <si>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</si>
  <si>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</si>
  <si>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</si>
  <si>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</si>
  <si>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</si>
  <si>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</si>
  <si>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</si>
  <si>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</si>
  <si>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</si>
  <si>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</si>
  <si>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</si>
  <si>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</si>
  <si>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</si>
  <si>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</si>
  <si>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</si>
  <si>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</si>
  <si>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</si>
  <si>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</si>
  <si>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</si>
  <si>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</si>
  <si>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</si>
  <si>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</si>
  <si>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</si>
  <si>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</si>
  <si>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</si>
  <si>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</si>
  <si>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</si>
  <si>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</si>
  <si>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</si>
  <si>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</si>
  <si>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</si>
  <si>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</si>
  <si>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</si>
  <si>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</si>
  <si>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</si>
  <si>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</si>
  <si>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</si>
  <si>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</si>
  <si>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</si>
  <si>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</si>
  <si>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</si>
  <si>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</si>
  <si>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</si>
  <si>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</si>
  <si>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</si>
  <si>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</si>
  <si>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</si>
  <si>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</si>
  <si>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</si>
  <si>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</si>
  <si>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</si>
  <si>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</si>
  <si>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</si>
  <si>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</si>
  <si>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</si>
  <si>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</si>
  <si>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</si>
  <si>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</si>
  <si>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</si>
  <si>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</si>
  <si>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</si>
  <si>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</si>
  <si>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</si>
  <si>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</si>
  <si>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</si>
  <si>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</si>
  <si>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</si>
  <si>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</si>
  <si>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</si>
  <si>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</si>
  <si>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</si>
  <si>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</si>
  <si>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</si>
  <si>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</si>
  <si>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</si>
  <si>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</si>
  <si>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</si>
  <si>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</si>
  <si>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</si>
  <si>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</si>
  <si>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</si>
  <si>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</si>
  <si>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</si>
  <si>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</si>
  <si>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</si>
  <si>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</si>
  <si>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</si>
  <si>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</si>
  <si>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</si>
  <si>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</si>
  <si>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</si>
  <si>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</si>
  <si>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</si>
  <si>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</si>
  <si>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</si>
  <si>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</si>
  <si>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</si>
  <si>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</si>
  <si>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</si>
  <si>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</si>
  <si>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</si>
  <si>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</si>
  <si>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</si>
  <si>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</si>
  <si>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</si>
  <si>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</si>
  <si>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</si>
  <si>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</si>
  <si>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</si>
  <si>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</si>
  <si>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</si>
  <si>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</si>
  <si>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</si>
  <si>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</si>
  <si>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</si>
  <si>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</si>
  <si>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</si>
  <si>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</si>
  <si>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</si>
  <si>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</si>
  <si>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</si>
  <si>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</si>
  <si>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</si>
  <si>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</si>
  <si>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</si>
  <si>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</si>
  <si>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</si>
  <si>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</si>
  <si>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</si>
  <si>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</si>
  <si>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</si>
  <si>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</si>
  <si>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</si>
  <si>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</si>
  <si>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</si>
  <si>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</si>
  <si>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</si>
  <si>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</si>
  <si>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</si>
  <si>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</si>
  <si>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</si>
  <si>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</si>
  <si>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</si>
  <si>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</si>
  <si>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</si>
  <si>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</si>
  <si>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</si>
  <si>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</si>
  <si>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</si>
  <si>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</si>
  <si>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</si>
  <si>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</si>
  <si>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</si>
  <si>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</si>
  <si>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</si>
  <si>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</si>
  <si>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</si>
  <si>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</si>
  <si>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</si>
  <si>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</si>
  <si>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</si>
  <si>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</si>
  <si>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</si>
  <si>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</si>
  <si>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</si>
  <si>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</si>
  <si>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</si>
  <si>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</si>
  <si>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</si>
  <si>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</si>
  <si>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</si>
  <si>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</si>
  <si>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</si>
  <si>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</si>
  <si>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</si>
  <si>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</si>
  <si>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</si>
  <si>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</si>
  <si>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</si>
  <si>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</si>
  <si>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</si>
  <si>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</si>
  <si>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</si>
  <si>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</si>
  <si>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</si>
  <si>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</si>
  <si>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</si>
  <si>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</si>
  <si>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</si>
  <si>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</si>
  <si>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</si>
  <si>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</si>
  <si>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</si>
  <si>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</si>
  <si>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</si>
  <si>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</si>
  <si>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</si>
  <si>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</si>
  <si>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</si>
  <si>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</si>
  <si>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</si>
  <si>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</si>
  <si>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</si>
  <si>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</si>
  <si>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</si>
  <si>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</si>
  <si>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</si>
  <si>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</si>
  <si>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</si>
  <si>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</si>
  <si>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</si>
  <si>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</si>
  <si>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</si>
  <si>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</si>
  <si>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</si>
  <si>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</si>
  <si>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</si>
  <si>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</si>
  <si>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</si>
  <si>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</si>
  <si>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</si>
  <si>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</si>
  <si>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</si>
  <si>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</si>
  <si>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</si>
  <si>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</si>
  <si>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</si>
  <si>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</si>
  <si>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</si>
  <si>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</si>
  <si>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</si>
  <si>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</si>
  <si>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</si>
  <si>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</si>
  <si>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</si>
  <si>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</si>
  <si>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</si>
  <si>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</si>
  <si>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</si>
  <si>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</si>
  <si>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</si>
  <si>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</si>
  <si>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</si>
  <si>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</si>
  <si>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</si>
  <si>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</si>
  <si>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</si>
  <si>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</si>
  <si>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</si>
  <si>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</si>
  <si>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</si>
  <si>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</si>
  <si>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</si>
  <si>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</si>
  <si>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</si>
  <si>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</si>
  <si>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</si>
  <si>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</si>
  <si>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</si>
  <si>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</si>
  <si>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</si>
  <si>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</si>
  <si>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</si>
  <si>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</si>
  <si>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</si>
  <si>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</si>
  <si>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</si>
  <si>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</si>
  <si>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</si>
  <si>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</si>
  <si>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</si>
  <si>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</si>
  <si>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</si>
  <si>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</si>
  <si>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</si>
  <si>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</si>
  <si>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</si>
  <si>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</si>
  <si>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</si>
  <si>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</si>
  <si>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</si>
  <si>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</si>
  <si>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</si>
  <si>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</si>
  <si>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</si>
  <si>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</si>
  <si>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</si>
  <si>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</si>
  <si>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</si>
  <si>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</si>
  <si>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</si>
  <si>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</si>
  <si>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</si>
  <si>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</si>
  <si>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</si>
  <si>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</si>
  <si>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</si>
  <si>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</si>
  <si>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</si>
  <si>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</si>
  <si>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</si>
  <si>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</si>
  <si>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</si>
  <si>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</si>
  <si>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</si>
  <si>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</si>
  <si>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</si>
  <si>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</si>
  <si>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</si>
  <si>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</si>
  <si>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</si>
  <si>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</si>
  <si>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</si>
  <si>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</si>
  <si>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</si>
  <si>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</si>
  <si>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</si>
  <si>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</si>
  <si>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</si>
  <si>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</si>
  <si>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</si>
  <si>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</si>
  <si>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</si>
  <si>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</si>
  <si>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</si>
  <si>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</si>
  <si>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</si>
  <si>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</si>
  <si>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</si>
  <si>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</si>
  <si>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</si>
  <si>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</si>
  <si>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</si>
  <si>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</si>
  <si>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</si>
  <si>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</si>
  <si>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</si>
  <si>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</si>
  <si>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</si>
  <si>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</si>
  <si>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</si>
  <si>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</si>
  <si>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</si>
  <si>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</si>
  <si>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</si>
  <si>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</si>
  <si>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</si>
  <si>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</si>
  <si>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</si>
  <si>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</si>
  <si>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</si>
  <si>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</si>
  <si>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</si>
  <si>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</si>
  <si>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</si>
  <si>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</si>
  <si>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</si>
  <si>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</si>
  <si>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</si>
  <si>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</si>
  <si>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</si>
  <si>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</si>
  <si>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</si>
  <si>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</si>
  <si>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</si>
  <si>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</si>
  <si>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</si>
  <si>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</si>
  <si>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</si>
  <si>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</si>
  <si>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</si>
  <si>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</si>
  <si>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</si>
  <si>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</si>
  <si>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</si>
  <si>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</si>
  <si>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</si>
  <si>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</si>
  <si>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</si>
  <si>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</si>
  <si>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</si>
  <si>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</si>
  <si>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</si>
  <si>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</si>
  <si>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</si>
  <si>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</si>
  <si>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</si>
  <si>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</si>
  <si>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</si>
  <si>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</si>
  <si>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</si>
  <si>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</si>
  <si>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</si>
  <si>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</si>
  <si>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</si>
  <si>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</si>
  <si>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</si>
  <si>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</si>
  <si>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</si>
  <si>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</si>
  <si>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</si>
  <si>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</si>
  <si>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</si>
  <si>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</si>
  <si>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</si>
  <si>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</si>
  <si>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</si>
  <si>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</si>
  <si>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</si>
  <si>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</si>
  <si>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</si>
  <si>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</si>
  <si>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</si>
  <si>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</si>
  <si>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</si>
  <si>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</si>
  <si>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</si>
  <si>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</si>
  <si>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</si>
  <si>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</si>
  <si>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</si>
  <si>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</si>
  <si>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</si>
  <si>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</si>
  <si>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</si>
  <si>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</si>
  <si>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</si>
  <si>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</si>
  <si>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</si>
  <si>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</si>
  <si>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</si>
  <si>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</si>
  <si>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</si>
  <si>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</si>
  <si>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</si>
  <si>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</si>
  <si>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</si>
  <si>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</si>
  <si>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</si>
  <si>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</si>
  <si>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</si>
  <si>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</si>
  <si>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</si>
  <si>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</si>
  <si>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</si>
  <si>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</si>
  <si>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</si>
  <si>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</si>
  <si>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</si>
  <si>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</si>
  <si>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</si>
  <si>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</si>
  <si>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</si>
  <si>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</si>
  <si>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</si>
  <si>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</si>
  <si>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</si>
  <si>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</si>
  <si>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</si>
  <si>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</si>
  <si>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</si>
  <si>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</si>
  <si>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</si>
  <si>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</si>
  <si>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</si>
  <si>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</si>
  <si>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</si>
  <si>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</si>
  <si>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</si>
  <si>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</si>
  <si>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</si>
  <si>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</si>
  <si>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</si>
  <si>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</si>
  <si>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</si>
  <si>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</si>
  <si>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</si>
  <si>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</si>
  <si>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</si>
  <si>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</si>
  <si>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</si>
  <si>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</si>
  <si>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</si>
  <si>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</si>
  <si>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</si>
  <si>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</si>
  <si>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</si>
  <si>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</si>
  <si>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</si>
  <si>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</si>
  <si>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</si>
  <si>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</si>
  <si>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</si>
  <si>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</si>
  <si>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</si>
  <si>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</si>
  <si>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</si>
  <si>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</si>
  <si>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</si>
  <si>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</si>
  <si>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</si>
  <si>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</si>
  <si>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</si>
  <si>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</si>
  <si>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</si>
  <si>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</si>
  <si>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</si>
  <si>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</si>
  <si>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</si>
  <si>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</si>
  <si>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</si>
  <si>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</si>
  <si>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</si>
  <si>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</si>
  <si>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</si>
  <si>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</si>
  <si>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</si>
  <si>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</si>
  <si>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</si>
  <si>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</si>
  <si>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</si>
  <si>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</si>
  <si>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</si>
  <si>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</si>
  <si>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</si>
  <si>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</si>
  <si>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</si>
  <si>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</si>
  <si>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</si>
  <si>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</si>
  <si>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</si>
  <si>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</si>
  <si>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</si>
  <si>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</si>
  <si>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</si>
  <si>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</si>
  <si>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</si>
  <si>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</si>
  <si>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</si>
  <si>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</si>
  <si>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</si>
  <si>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</si>
  <si>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</si>
  <si>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</si>
  <si>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</si>
  <si>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</si>
  <si>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</si>
  <si>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</si>
  <si>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</si>
  <si>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</si>
  <si>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</si>
  <si>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</si>
  <si>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</si>
  <si>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</si>
  <si>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</si>
  <si>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</si>
  <si>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</si>
  <si>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</si>
  <si>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</si>
  <si>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</si>
  <si>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</si>
  <si>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</si>
  <si>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</si>
  <si>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</si>
  <si>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</si>
  <si>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</si>
  <si>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</si>
  <si>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</si>
  <si>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</si>
  <si>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</si>
  <si>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</si>
  <si>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</si>
  <si>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</si>
  <si>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</si>
  <si>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</si>
  <si>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</si>
  <si>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</si>
  <si>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</si>
  <si>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</si>
  <si>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</si>
  <si>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</si>
  <si>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</si>
  <si>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</si>
  <si>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</si>
  <si>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</si>
  <si>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</si>
  <si>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</si>
  <si>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</si>
  <si>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</si>
  <si>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</si>
  <si>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</si>
  <si>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</si>
  <si>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</si>
  <si>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</si>
  <si>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</si>
  <si>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</si>
  <si>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</si>
  <si>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</si>
  <si>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</si>
  <si>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</si>
  <si>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</si>
  <si>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</si>
  <si>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</si>
  <si>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</si>
  <si>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</si>
  <si>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</si>
  <si>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</si>
  <si>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</si>
  <si>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</si>
  <si>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</si>
  <si>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</si>
  <si>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</si>
  <si>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</si>
  <si>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</si>
  <si>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</si>
  <si>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</si>
  <si>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</si>
  <si>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</si>
  <si>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</si>
  <si>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</si>
  <si>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</si>
  <si>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</si>
  <si>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</si>
  <si>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</si>
  <si>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</si>
  <si>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</si>
  <si>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</si>
  <si>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</si>
  <si>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</si>
  <si>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</si>
  <si>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</si>
  <si>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</si>
  <si>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</si>
  <si>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</si>
  <si>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</si>
  <si>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</si>
  <si>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</si>
  <si>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</si>
  <si>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</si>
  <si>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</si>
  <si>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</si>
  <si>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</si>
  <si>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</si>
  <si>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</si>
  <si>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</si>
  <si>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</si>
  <si>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</si>
  <si>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</si>
  <si>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</si>
  <si>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</si>
  <si>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</si>
  <si>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</si>
  <si>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</si>
  <si>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</si>
  <si>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</si>
  <si>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</si>
  <si>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</si>
  <si>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</si>
  <si>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</si>
  <si>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</si>
  <si>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</si>
  <si>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</si>
  <si>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</si>
  <si>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</si>
  <si>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</si>
  <si>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</si>
  <si>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</si>
  <si>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</si>
  <si>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</si>
  <si>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</si>
  <si>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</si>
  <si>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</si>
  <si>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</si>
  <si>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</si>
  <si>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</si>
  <si>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</si>
  <si>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</si>
  <si>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</si>
  <si>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</si>
  <si>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</si>
  <si>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</si>
  <si>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</si>
  <si>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</si>
  <si>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</si>
  <si>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</si>
  <si>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</si>
  <si>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</si>
  <si>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</si>
  <si>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</si>
  <si>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</si>
  <si>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</si>
  <si>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</si>
  <si>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</si>
  <si>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</si>
  <si>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</si>
  <si>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</si>
  <si>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</si>
  <si>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</si>
  <si>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</si>
  <si>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</si>
  <si>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</si>
  <si>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</si>
  <si>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</si>
  <si>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</si>
  <si>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</si>
  <si>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</si>
  <si>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</si>
  <si>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</si>
  <si>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</si>
  <si>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</si>
  <si>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</si>
  <si>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</si>
  <si>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</si>
  <si>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</si>
  <si>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</si>
  <si>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</si>
  <si>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</si>
  <si>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</si>
  <si>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</si>
  <si>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</si>
  <si>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</si>
  <si>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</si>
  <si>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</si>
  <si>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</si>
  <si>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</si>
  <si>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</si>
  <si>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</si>
  <si>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</si>
  <si>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</si>
  <si>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</si>
  <si>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</si>
  <si>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</si>
  <si>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</si>
  <si>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</si>
  <si>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</si>
  <si>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</si>
  <si>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</si>
  <si>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</si>
  <si>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</si>
  <si>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</si>
  <si>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</si>
  <si>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</si>
  <si>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</si>
  <si>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</si>
  <si>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</si>
  <si>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</si>
  <si>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</si>
  <si>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</si>
  <si>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</si>
  <si>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</si>
  <si>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</si>
  <si>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</si>
  <si>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</si>
  <si>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</si>
  <si>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</si>
  <si>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</si>
  <si>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</si>
  <si>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</si>
  <si>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</si>
  <si>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</si>
  <si>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</si>
  <si>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</si>
  <si>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</si>
  <si>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</si>
  <si>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</si>
  <si>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</si>
  <si>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</si>
  <si>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</si>
  <si>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</si>
  <si>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</si>
  <si>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</si>
  <si>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</si>
  <si>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</si>
  <si>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</si>
  <si>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</si>
  <si>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</si>
  <si>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</si>
  <si>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</si>
  <si>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</si>
  <si>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</si>
  <si>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</si>
  <si>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</si>
  <si>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</si>
  <si>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</si>
  <si>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</si>
  <si>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</si>
  <si>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</si>
  <si>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</si>
  <si>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</si>
  <si>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</si>
  <si>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</si>
  <si>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</si>
  <si>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</si>
  <si>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</si>
  <si>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</si>
  <si>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</si>
  <si>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</si>
  <si>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</si>
  <si>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</si>
  <si>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</si>
  <si>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</si>
  <si>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</si>
  <si>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</si>
  <si>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</si>
  <si>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</si>
  <si>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</si>
  <si>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</si>
  <si>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</si>
  <si>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</si>
  <si>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</si>
  <si>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</si>
  <si>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</si>
  <si>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</si>
  <si>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</si>
  <si>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</si>
  <si>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</si>
  <si>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</si>
  <si>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</si>
  <si>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</si>
  <si>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</si>
  <si>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</si>
  <si>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</si>
  <si>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</si>
  <si>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</si>
  <si>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</si>
  <si>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</si>
  <si>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</si>
  <si>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</si>
  <si>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</si>
  <si>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</si>
  <si>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</si>
  <si>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</si>
  <si>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</si>
  <si>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</si>
  <si>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</si>
  <si>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</si>
  <si>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</si>
  <si>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</si>
  <si>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</si>
  <si>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</si>
  <si>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</si>
  <si>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</si>
  <si>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</si>
  <si>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</si>
  <si>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</si>
  <si>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</si>
  <si>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</si>
  <si>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</si>
  <si>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</si>
  <si>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</si>
  <si>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</si>
  <si>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</si>
  <si>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</si>
  <si>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</si>
  <si>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</si>
  <si>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</si>
  <si>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</si>
  <si>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</si>
  <si>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</si>
  <si>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</si>
  <si>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</si>
  <si>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</si>
  <si>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</si>
  <si>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</si>
  <si>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</si>
  <si>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</si>
  <si>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</si>
  <si>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</si>
  <si>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</si>
  <si>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</si>
  <si>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</si>
  <si>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</si>
  <si>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</si>
  <si>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</si>
  <si>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</si>
  <si>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</si>
  <si>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</si>
  <si>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</si>
  <si>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</si>
  <si>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</si>
  <si>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</si>
  <si>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</si>
  <si>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</si>
  <si>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</si>
  <si>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</si>
  <si>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</si>
  <si>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</si>
  <si>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</si>
  <si>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</si>
  <si>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</si>
  <si>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</si>
  <si>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</si>
  <si>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</si>
  <si>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</si>
  <si>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</si>
  <si>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</si>
  <si>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</si>
  <si>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</si>
  <si>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</si>
  <si>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</si>
  <si>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</si>
  <si>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</si>
  <si>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</si>
  <si>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</si>
  <si>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</si>
  <si>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</si>
  <si>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</si>
  <si>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</si>
  <si>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</si>
  <si>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</si>
  <si>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</si>
  <si>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</si>
  <si>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</si>
  <si>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</si>
  <si>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</si>
  <si>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</si>
  <si>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</si>
  <si>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</si>
  <si>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</si>
  <si>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</si>
  <si>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</si>
  <si>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</si>
  <si>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</si>
  <si>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</si>
  <si>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</si>
  <si>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</si>
  <si>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</si>
  <si>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</si>
  <si>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</si>
  <si>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</si>
  <si>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</si>
  <si>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</si>
  <si>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</si>
  <si>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</si>
  <si>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</si>
  <si>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</si>
  <si>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</si>
  <si>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</si>
  <si>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</si>
  <si>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</si>
  <si>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</si>
  <si>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</si>
  <si>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</si>
  <si>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</si>
  <si>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</si>
  <si>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</si>
  <si>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</si>
  <si>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</si>
  <si>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</si>
  <si>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</si>
  <si>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</si>
  <si>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</si>
  <si>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</si>
  <si>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</si>
  <si>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</si>
  <si>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</si>
  <si>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</si>
  <si>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</si>
  <si>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</si>
  <si>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</si>
  <si>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</si>
  <si>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</si>
  <si>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</si>
  <si>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</si>
  <si>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</si>
  <si>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</si>
  <si>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</si>
  <si>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</si>
  <si>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</si>
  <si>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</si>
  <si>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</si>
  <si>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</si>
  <si>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</si>
  <si>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</si>
  <si>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</si>
  <si>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</si>
  <si>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</si>
  <si>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</si>
  <si>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</si>
  <si>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</si>
  <si>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</si>
  <si>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</si>
  <si>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</si>
  <si>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</si>
  <si>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</si>
  <si>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</si>
  <si>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</si>
  <si>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</si>
  <si>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</si>
  <si>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</si>
  <si>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</si>
  <si>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</si>
  <si>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</si>
  <si>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</si>
  <si>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</si>
  <si>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</si>
  <si>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</si>
  <si>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</si>
  <si>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</si>
  <si>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</si>
  <si>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</si>
  <si>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</si>
  <si>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</si>
  <si>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</si>
  <si>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</si>
  <si>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</si>
  <si>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</si>
  <si>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</si>
  <si>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</si>
  <si>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</si>
  <si>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</si>
  <si>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</si>
  <si>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</si>
  <si>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</si>
  <si>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</si>
  <si>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</si>
  <si>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</si>
  <si>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</si>
  <si>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</si>
  <si>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</si>
  <si>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</si>
  <si>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</si>
  <si>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</si>
  <si>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</si>
  <si>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</si>
  <si>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</si>
  <si>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</si>
  <si>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</si>
  <si>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</si>
  <si>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</si>
  <si>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</si>
  <si>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</si>
  <si>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</si>
  <si>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</si>
  <si>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</si>
  <si>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</si>
  <si>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</si>
  <si>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</si>
  <si>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</si>
  <si>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</si>
  <si>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</si>
  <si>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</si>
  <si>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</si>
  <si>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</si>
  <si>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</si>
  <si>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</si>
  <si>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</si>
  <si>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</si>
  <si>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</si>
  <si>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</si>
  <si>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</si>
  <si>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</si>
  <si>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</si>
  <si>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</si>
  <si>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</si>
  <si>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</si>
  <si>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</si>
  <si>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</si>
  <si>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</si>
  <si>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</si>
  <si>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</si>
  <si>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</si>
  <si>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</si>
  <si>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</si>
  <si>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</si>
  <si>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</si>
  <si>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</si>
  <si>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</si>
  <si>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</si>
  <si>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</si>
  <si>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</si>
  <si>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</si>
  <si>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</si>
  <si>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</si>
  <si>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</si>
  <si>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</si>
  <si>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</si>
  <si>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</si>
  <si>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</si>
  <si>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</si>
  <si>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</si>
  <si>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</si>
  <si>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</si>
  <si>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</si>
  <si>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</si>
  <si>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</si>
  <si>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</si>
  <si>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</si>
  <si>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</si>
  <si>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</si>
  <si>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</si>
  <si>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</si>
  <si>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</si>
  <si>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</si>
  <si>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</si>
  <si>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</si>
  <si>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</si>
  <si>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</si>
  <si>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</si>
  <si>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</si>
  <si>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</si>
  <si>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</si>
  <si>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</si>
  <si>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</si>
  <si>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</si>
  <si>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</si>
  <si>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</si>
  <si>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</si>
  <si>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</si>
  <si>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</si>
  <si>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</si>
  <si>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</si>
  <si>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</si>
  <si>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</si>
  <si>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</si>
  <si>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</si>
  <si>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</si>
  <si>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</si>
  <si>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</si>
  <si>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</si>
  <si>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</si>
  <si>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</si>
  <si>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</si>
  <si>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</si>
  <si>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</si>
  <si>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</si>
  <si>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</si>
  <si>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</si>
  <si>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</si>
  <si>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</si>
  <si>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</si>
  <si>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</si>
  <si>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</si>
  <si>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</si>
  <si>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</si>
  <si>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</si>
  <si>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</si>
  <si>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</si>
  <si>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</si>
  <si>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</si>
  <si>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</si>
  <si>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</si>
  <si>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</si>
  <si>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</si>
  <si>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</si>
  <si>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</si>
  <si>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</si>
  <si>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</si>
  <si>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</si>
  <si>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</si>
  <si>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</si>
  <si>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</si>
  <si>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</si>
  <si>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</si>
  <si>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</si>
  <si>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</si>
  <si>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</si>
  <si>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</si>
  <si>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</si>
  <si>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</si>
  <si>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</si>
  <si>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</si>
  <si>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</si>
  <si>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</si>
  <si>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</si>
  <si>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</si>
  <si>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</si>
  <si>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</si>
  <si>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</si>
  <si>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</si>
  <si>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</si>
  <si>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</si>
  <si>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</si>
  <si>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</si>
  <si>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</si>
  <si>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</si>
  <si>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</si>
  <si>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</si>
  <si>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</si>
  <si>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</si>
  <si>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</si>
  <si>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</si>
  <si>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</si>
  <si>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</si>
  <si>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</si>
  <si>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</si>
  <si>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</si>
  <si>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</si>
  <si>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</si>
  <si>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</si>
  <si>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</si>
  <si>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</si>
  <si>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</si>
  <si>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</si>
  <si>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</si>
  <si>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</si>
  <si>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</si>
  <si>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</si>
  <si>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</si>
  <si>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</si>
  <si>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</si>
  <si>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</si>
  <si>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</si>
  <si>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</si>
  <si>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</si>
  <si>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</si>
  <si>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</si>
  <si>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</si>
  <si>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</si>
  <si>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</si>
  <si>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</si>
  <si>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</si>
  <si>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</si>
  <si>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</si>
  <si>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</si>
  <si>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</si>
  <si>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</si>
  <si>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</si>
  <si>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</si>
  <si>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</si>
  <si>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</si>
  <si>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</si>
  <si>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</si>
  <si>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</si>
  <si>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</si>
  <si>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</si>
  <si>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</si>
  <si>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</si>
  <si>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</si>
  <si>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</si>
  <si>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</si>
  <si>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</si>
  <si>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</si>
  <si>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</si>
  <si>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</si>
  <si>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</si>
  <si>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</si>
  <si>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</si>
  <si>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</si>
  <si>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</si>
  <si>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</si>
  <si>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</si>
  <si>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</si>
  <si>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</si>
  <si>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</si>
  <si>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</si>
  <si>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</si>
  <si>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</si>
  <si>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</si>
  <si>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</si>
  <si>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</si>
  <si>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</si>
  <si>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</si>
  <si>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</si>
  <si>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</si>
  <si>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</si>
  <si>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</si>
  <si>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</si>
  <si>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</si>
  <si>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</si>
  <si>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</si>
  <si>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</si>
  <si>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</si>
  <si>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</si>
  <si>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</si>
  <si>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</si>
  <si>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</si>
  <si>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</si>
  <si>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</si>
  <si>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</si>
  <si>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</si>
  <si>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</si>
  <si>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</si>
  <si>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</si>
  <si>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</si>
  <si>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</si>
  <si>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</si>
  <si>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</si>
  <si>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</si>
  <si>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</si>
  <si>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</si>
  <si>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</si>
  <si>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</si>
  <si>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</si>
  <si>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</si>
  <si>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</si>
  <si>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</si>
  <si>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</si>
  <si>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</si>
  <si>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</si>
  <si>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</si>
  <si>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</si>
  <si>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</si>
  <si>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</si>
  <si>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</si>
  <si>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</si>
  <si>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</si>
  <si>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</si>
  <si>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</si>
  <si>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</si>
  <si>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</si>
  <si>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</si>
  <si>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</si>
  <si>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</si>
  <si>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</si>
  <si>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</si>
  <si>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</si>
  <si>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</si>
  <si>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</si>
  <si>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</si>
  <si>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</si>
  <si>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</si>
  <si>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</si>
  <si>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</si>
  <si>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</si>
  <si>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</si>
  <si>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</si>
  <si>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</si>
  <si>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</si>
  <si>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</si>
  <si>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</si>
  <si>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</si>
  <si>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</si>
  <si>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</si>
  <si>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</si>
  <si>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</si>
  <si>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</si>
  <si>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</si>
  <si>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</si>
  <si>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</si>
  <si>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</si>
  <si>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</si>
  <si>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</si>
  <si>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</si>
  <si>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</si>
  <si>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</si>
  <si>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</si>
  <si>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</si>
  <si>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</si>
  <si>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</si>
  <si>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</si>
  <si>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</si>
  <si>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</si>
  <si>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</si>
  <si>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</si>
  <si>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</si>
  <si>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</si>
  <si>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</si>
  <si>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</si>
  <si>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</si>
  <si>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</si>
  <si>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</si>
  <si>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</si>
  <si>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</si>
  <si>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</si>
  <si>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</si>
  <si>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</si>
  <si>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</si>
  <si>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</si>
  <si>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</si>
  <si>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</si>
  <si>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</si>
  <si>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</si>
  <si>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</si>
  <si>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</si>
  <si>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</si>
  <si>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</si>
  <si>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</si>
  <si>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</si>
  <si>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</si>
  <si>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</si>
  <si>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</si>
  <si>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</si>
  <si>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</si>
  <si>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</si>
  <si>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</si>
  <si>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</si>
  <si>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</si>
  <si>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</si>
  <si>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</si>
  <si>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</si>
  <si>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</si>
  <si>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</si>
  <si>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</si>
  <si>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</si>
  <si>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</si>
  <si>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</si>
  <si>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</si>
  <si>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</si>
  <si>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</si>
  <si>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</si>
  <si>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</si>
  <si>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</si>
  <si>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</si>
  <si>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</si>
  <si>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</si>
  <si>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</si>
  <si>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</si>
  <si>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</si>
  <si>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</si>
  <si>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</si>
  <si>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</si>
  <si>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</si>
  <si>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</si>
  <si>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</si>
  <si>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</si>
  <si>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</si>
  <si>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</si>
  <si>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</si>
  <si>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</si>
  <si>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</si>
  <si>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</si>
  <si>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</si>
  <si>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</si>
  <si>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</si>
  <si>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</si>
  <si>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</si>
  <si>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</si>
  <si>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</si>
  <si>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</si>
  <si>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</si>
  <si>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</si>
  <si>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BH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</si>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</sst>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104" dataDxfId="103">
  <autoFilter ref="A1:R776" xr:uid="{97E63F84-BDFB-4C38-B1FD-28318E0D1D3F}"/>
  <tableColumns count="18">
    <tableColumn id="1" xr3:uid="{DEBB3640-E433-4779-93BC-95B8FB492623}" name="S.NO" dataDxfId="102">
      <calculatedColumnFormula>ROW()-1</calculatedColumnFormula>
    </tableColumn>
    <tableColumn id="13" xr3:uid="{86C56767-9BFE-4154-9FC1-CEA7C183815E}" name="APPLICATION NO." dataDxfId="101"/>
    <tableColumn id="2" xr3:uid="{6ABB4EDF-0F58-40D7-979C-D37D8D91A6BC}" name="CHASSIS" dataDxfId="100"/>
    <tableColumn id="17" xr3:uid="{0BBF5E4D-B8B0-4055-8D5F-3A6BB4D4A4DA}" name="ENGINE NO." dataDxfId="99"/>
    <tableColumn id="3" xr3:uid="{285CC4F4-4CD1-4FFC-A101-ED051DA40438}" name="NAME" dataDxfId="98"/>
    <tableColumn id="4" xr3:uid="{28DC8B59-EFA0-4502-86B0-033B0B60D615}" name="MODEL" dataDxfId="97"/>
    <tableColumn id="14" xr3:uid="{B25F5A6A-3B72-4772-B75C-D86670F35131}" name="COLOR" dataDxfId="96"/>
    <tableColumn id="15" xr3:uid="{22F5E9AE-FC4E-4EBD-ADBF-5C93F85B331F}" name="RTO" dataDxfId="9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4"/>
    <tableColumn id="6" xr3:uid="{9942893D-0703-456F-8072-CD136C7B4052}" name="DATE OF REG" dataDxfId="93"/>
    <tableColumn id="12" xr3:uid="{CC83ADC7-1924-4CE0-83FB-B2DFBEF7A193}" name="CONTACT" dataDxfId="92"/>
    <tableColumn id="7" xr3:uid="{3AD2B0D9-D7A5-46E0-B596-F6B7F1CDDEA6}" name="DSE" dataDxfId="91"/>
    <tableColumn id="8" xr3:uid="{475221AE-3FDC-4CED-B76C-4DA1DD4F8AD9}" name="RC RECEIVED BY" dataDxfId="90"/>
    <tableColumn id="9" xr3:uid="{F594ED7D-6966-47AC-A5C3-25754B73A3CC}" name="DATE" dataDxfId="89"/>
    <tableColumn id="10" xr3:uid="{452E3ECD-E927-4EC7-A8A2-4A866233750E}" name="FASTTAG" dataDxfId="88"/>
    <tableColumn id="11" xr3:uid="{CFEE5573-D700-4B26-B382-BCA8210C54C2}" name="DATED" dataDxfId="87"/>
    <tableColumn id="16" xr3:uid="{07363D0C-2FBE-403B-A617-BDB5768FAC43}" name="FT STATUS" dataDxfId="86"/>
    <tableColumn id="19" xr3:uid="{9456CF5E-F4D1-41FB-BAEA-332735A8583D}" name="REMARKS" dataDxfId="8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4" dataDxfId="82" headerRowBorderDxfId="83" tableBorderDxfId="81">
  <autoFilter ref="A1:U1475" xr:uid="{D370B51C-D08F-47BE-AAB1-EC19B1CB5D0A}"/>
  <tableColumns count="21">
    <tableColumn id="1" xr3:uid="{F2AB5776-2910-4922-8F7A-A29B241AFBFB}" name="S.NO" dataDxfId="80"/>
    <tableColumn id="2" xr3:uid="{BD6FD91D-E737-4D6A-B00A-D80EC1A61CA8}" name="DATE" dataDxfId="79"/>
    <tableColumn id="3" xr3:uid="{523BFE7D-9361-4DD0-92B3-69A6F8F0C3E9}" name="CUSTOMER NAME" dataDxfId="78"/>
    <tableColumn id="4" xr3:uid="{D470DE80-5E84-419F-ABF9-6269311CD45E}" name="MARUTI" dataDxfId="77"/>
    <tableColumn id="5" xr3:uid="{89C10B6F-C9EE-4AD2-A610-262BFCF29B4E}" name="MODEL OR VARIANT" dataDxfId="76"/>
    <tableColumn id="6" xr3:uid="{9CB69D3E-706F-4EED-A315-D5399BE00D5C}" name="RTO" dataDxfId="75"/>
    <tableColumn id="7" xr3:uid="{2FB81954-C8D6-43B3-92E2-574B07BBFCCB}" name="VEHICLE CLASS" dataDxfId="74"/>
    <tableColumn id="8" xr3:uid="{1892A735-1187-4E6C-8786-9B173567AAD2}" name="REG. NO" dataDxfId="73"/>
    <tableColumn id="9" xr3:uid="{AFB37B1C-50E7-42BE-BC49-27B4D7E4E829}" name="VIN" dataDxfId="72"/>
    <tableColumn id="10" xr3:uid="{A3569458-1056-4E90-B079-94E3430A5743}" name="APPLICATION NO." dataDxfId="71"/>
    <tableColumn id="11" xr3:uid="{E25E7D92-4EC4-485D-93B8-A15B0538604A}" name="RTO AMMOUNT " dataDxfId="70"/>
    <tableColumn id="12" xr3:uid="{DB89535A-8F36-4EF8-B62C-86ABB378F51F}" name="HSRP" dataDxfId="69"/>
    <tableColumn id="13" xr3:uid="{6BD25826-954F-49C4-BE9E-24422B1B85BE}" name="ACCOUNT" dataDxfId="68"/>
    <tableColumn id="14" xr3:uid="{974951AE-D99C-487A-9DB5-065DA8DD25D4}" name="RM NAME" dataDxfId="67"/>
    <tableColumn id="15" xr3:uid="{FA4014CD-BE60-4554-9D6D-C0CC54B2CA05}" name="PAYMENT MODE" dataDxfId="66"/>
    <tableColumn id="16" xr3:uid="{84C48B22-72C9-4BD7-86AD-D8ECD87C3A64}" name="FILE PUNCHED BY" dataDxfId="65"/>
    <tableColumn id="17" xr3:uid="{87E46E14-6F6C-41D4-BBF8-CEAFAFE4CA8F}" name="PAYMENT ID" dataDxfId="64"/>
    <tableColumn id="18" xr3:uid="{0F2CD467-C868-4769-B436-AE2A25413B52}" name="RC STATUS" dataDxfId="63"/>
    <tableColumn id="19" xr3:uid="{0A9FDBF9-6418-4F2B-8B46-BE05C8150A04}" name="RC GIVEN DATE" dataDxfId="62"/>
    <tableColumn id="20" xr3:uid="{3A50F2B6-47D6-4A09-AA43-188FC568EA57}" name="FASTTAG ISSUE" dataDxfId="61"/>
    <tableColumn id="21" xr3:uid="{E4802D5D-D65F-42D3-B57E-E27729185964}" name="FASTTAG ISSUE DATE " dataDxfId="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80" totalsRowShown="0" headerRowDxfId="59" dataDxfId="58">
  <autoFilter ref="A2:H48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7"/>
    <tableColumn id="11" xr3:uid="{7AA66E15-5D81-45A6-A480-BC2F7EFDEB4C}" name="Name" dataDxfId="56"/>
    <tableColumn id="10" xr3:uid="{DA1D923C-25B3-4F76-823C-435E6464FF55}" name="Contact" dataDxfId="55"/>
    <tableColumn id="2" xr3:uid="{5FEBD558-5EB7-4421-BA25-DCAC1134B168}" name="Barcode No." dataDxfId="54"/>
    <tableColumn id="12" xr3:uid="{77758C8B-F2C8-47C0-B104-570729F9693B}" name="Reg Num" dataDxfId="53"/>
    <tableColumn id="5" xr3:uid="{9AC97A3F-3009-4A59-ACCF-A178780E6F61}" name="Date" dataDxfId="52"/>
    <tableColumn id="7" xr3:uid="{82C8F4C5-8489-4228-83CC-0B9666328CDD}" name="CHANNEL" dataDxfId="51"/>
    <tableColumn id="8" xr3:uid="{DDF1FC61-A0D6-46E9-9515-6DDC5AB1E932}" name="Status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49" dataDxfId="48">
  <autoFilter ref="A2:I9" xr:uid="{74ED0DA7-B29F-4043-B63E-2DC322D6021E}"/>
  <tableColumns count="9">
    <tableColumn id="1" xr3:uid="{245016D5-DEB3-4F3E-B449-3096C2EF947B}" name="S.No." dataDxfId="47">
      <calculatedColumnFormula>ROW()-2</calculatedColumnFormula>
    </tableColumn>
    <tableColumn id="2" xr3:uid="{77ED4F47-8FDC-4F18-AB35-3830D899313B}" name="Dated" dataDxfId="46"/>
    <tableColumn id="3" xr3:uid="{67393A8B-58A2-4A4E-AA68-362B9B4F4E28}" name="Vehicle Num." dataDxfId="45"/>
    <tableColumn id="4" xr3:uid="{2C031EFD-E44B-468B-BEF0-3C97412F5E2E}" name="Name" dataDxfId="44"/>
    <tableColumn id="5" xr3:uid="{73873638-799E-44F5-B857-93DAE5E0F2FF}" name="Payment Mode" dataDxfId="43"/>
    <tableColumn id="6" xr3:uid="{BFB6E8F7-43C7-4B39-8FF0-E41A5EA5B2D3}" name="Trans Id." dataDxfId="42"/>
    <tableColumn id="8" xr3:uid="{3B1BF0B9-13BC-4A4E-B215-A3056576D199}" name="Trans. Date" dataDxfId="41"/>
    <tableColumn id="9" xr3:uid="{F64CF3FC-8352-46AE-80D1-01DDCE0247AC}" name="Amount" dataDxfId="40"/>
    <tableColumn id="7" xr3:uid="{22AF1F96-D5EA-48BA-A958-A42C203B5287}" name="Remarks" dataDxfId="3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44"/>
  <sheetViews>
    <sheetView tabSelected="1" topLeftCell="A741" zoomScaleNormal="100" workbookViewId="0">
      <selection activeCell="B752" sqref="B75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67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 t="s">
        <v>23</v>
      </c>
      <c r="P729" s="29">
        <v>46153</v>
      </c>
      <c r="Q729" s="26" t="s">
        <v>6454</v>
      </c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 t="s">
        <v>7765</v>
      </c>
      <c r="N731" s="27">
        <v>46154</v>
      </c>
      <c r="O731" s="26" t="s">
        <v>23</v>
      </c>
      <c r="P731" s="29">
        <v>46154</v>
      </c>
      <c r="Q731" s="26" t="s">
        <v>6454</v>
      </c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10495</v>
      </c>
      <c r="C733" s="26" t="s">
        <v>10496</v>
      </c>
      <c r="D733" s="26" t="s">
        <v>10497</v>
      </c>
      <c r="E733" s="26" t="s">
        <v>4508</v>
      </c>
      <c r="F733" s="26" t="s">
        <v>5</v>
      </c>
      <c r="G733" s="26" t="s">
        <v>196</v>
      </c>
      <c r="H733" s="26" t="str">
        <f t="shared" ref="H733:H738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SRINAGAR</v>
      </c>
      <c r="I733" s="26" t="s">
        <v>10498</v>
      </c>
      <c r="J733" s="27">
        <v>46149</v>
      </c>
      <c r="K733" s="26">
        <v>9682180757</v>
      </c>
      <c r="L733" s="26" t="s">
        <v>10163</v>
      </c>
      <c r="M733" s="28" t="s">
        <v>10508</v>
      </c>
      <c r="N733" s="27">
        <v>46149</v>
      </c>
      <c r="O733" s="26" t="s">
        <v>23</v>
      </c>
      <c r="P733" s="29">
        <v>46149</v>
      </c>
      <c r="Q733" s="26" t="s">
        <v>6454</v>
      </c>
      <c r="R733" s="26"/>
    </row>
    <row r="734" spans="1:18" x14ac:dyDescent="0.25">
      <c r="A734" s="26">
        <f t="shared" si="30"/>
        <v>733</v>
      </c>
      <c r="B734" s="26" t="s">
        <v>10499</v>
      </c>
      <c r="C734" s="26" t="s">
        <v>10500</v>
      </c>
      <c r="D734" s="26" t="s">
        <v>10501</v>
      </c>
      <c r="E734" s="26" t="s">
        <v>10502</v>
      </c>
      <c r="F734" s="26" t="s">
        <v>12</v>
      </c>
      <c r="G734" s="26" t="s">
        <v>197</v>
      </c>
      <c r="H734" s="26" t="str">
        <f t="shared" si="34"/>
        <v>SHOPIAN</v>
      </c>
      <c r="I734" s="26" t="s">
        <v>10503</v>
      </c>
      <c r="J734" s="27">
        <v>46149</v>
      </c>
      <c r="K734" s="26">
        <v>7006112317</v>
      </c>
      <c r="L734" s="26" t="s">
        <v>6564</v>
      </c>
      <c r="M734" s="28"/>
      <c r="N734" s="27"/>
      <c r="O734" s="26"/>
      <c r="P734" s="29"/>
      <c r="Q734" s="26"/>
      <c r="R734" s="26"/>
    </row>
    <row r="735" spans="1:18" x14ac:dyDescent="0.25">
      <c r="A735" s="26">
        <f t="shared" si="30"/>
        <v>734</v>
      </c>
      <c r="B735" s="26" t="s">
        <v>10510</v>
      </c>
      <c r="C735" s="26" t="s">
        <v>10517</v>
      </c>
      <c r="D735" s="26" t="s">
        <v>10511</v>
      </c>
      <c r="E735" s="26" t="s">
        <v>10512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10523</v>
      </c>
      <c r="J735" s="27">
        <v>46149</v>
      </c>
      <c r="K735" s="26">
        <v>8493884319</v>
      </c>
      <c r="L735" s="26" t="s">
        <v>6515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10513</v>
      </c>
      <c r="C736" s="26" t="s">
        <v>10514</v>
      </c>
      <c r="D736" s="26" t="s">
        <v>10515</v>
      </c>
      <c r="E736" s="26" t="s">
        <v>10516</v>
      </c>
      <c r="F736" s="26" t="s">
        <v>116</v>
      </c>
      <c r="G736" s="26" t="s">
        <v>172</v>
      </c>
      <c r="H736" s="26" t="str">
        <f t="shared" si="34"/>
        <v>POONCH</v>
      </c>
      <c r="I736" s="26" t="s">
        <v>10524</v>
      </c>
      <c r="J736" s="27">
        <v>46149</v>
      </c>
      <c r="K736" s="26">
        <v>6005859681</v>
      </c>
      <c r="L736" s="26" t="s">
        <v>192</v>
      </c>
      <c r="M736" s="28" t="s">
        <v>9080</v>
      </c>
      <c r="N736" s="27">
        <v>46153</v>
      </c>
      <c r="O736" s="26" t="s">
        <v>23</v>
      </c>
      <c r="P736" s="29">
        <v>46153</v>
      </c>
      <c r="Q736" s="26" t="s">
        <v>6454</v>
      </c>
      <c r="R736" s="26"/>
    </row>
    <row r="737" spans="1:18" x14ac:dyDescent="0.25">
      <c r="A737" s="26">
        <f t="shared" si="30"/>
        <v>736</v>
      </c>
      <c r="B737" s="26" t="s">
        <v>10518</v>
      </c>
      <c r="C737" s="26" t="s">
        <v>10519</v>
      </c>
      <c r="D737" s="26" t="s">
        <v>10520</v>
      </c>
      <c r="E737" s="26" t="s">
        <v>10521</v>
      </c>
      <c r="F737" s="26" t="s">
        <v>5</v>
      </c>
      <c r="G737" s="26" t="s">
        <v>196</v>
      </c>
      <c r="H737" s="26" t="str">
        <f t="shared" si="34"/>
        <v>SHOPIAN</v>
      </c>
      <c r="I737" s="26" t="s">
        <v>10522</v>
      </c>
      <c r="J737" s="27">
        <v>46149</v>
      </c>
      <c r="K737" s="26">
        <v>9682364085</v>
      </c>
      <c r="L737" s="26" t="s">
        <v>303</v>
      </c>
      <c r="M737" s="28"/>
      <c r="N737" s="27"/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30"/>
        <v>737</v>
      </c>
      <c r="B738" s="26" t="s">
        <v>10525</v>
      </c>
      <c r="C738" s="26" t="s">
        <v>10526</v>
      </c>
      <c r="D738" s="26" t="s">
        <v>10527</v>
      </c>
      <c r="E738" s="26" t="s">
        <v>10528</v>
      </c>
      <c r="F738" s="26" t="s">
        <v>12</v>
      </c>
      <c r="G738" s="26" t="s">
        <v>223</v>
      </c>
      <c r="H738" s="26" t="str">
        <f t="shared" si="34"/>
        <v>PULWAMA</v>
      </c>
      <c r="I738" s="26" t="s">
        <v>10549</v>
      </c>
      <c r="J738" s="27">
        <v>46151</v>
      </c>
      <c r="K738" s="26">
        <v>8899923120</v>
      </c>
      <c r="L738" s="26" t="s">
        <v>6506</v>
      </c>
      <c r="M738" s="28"/>
      <c r="N738" s="27"/>
      <c r="O738" s="26"/>
      <c r="P738" s="29"/>
      <c r="Q738" s="26"/>
      <c r="R738" s="26"/>
    </row>
    <row r="739" spans="1:18" x14ac:dyDescent="0.25">
      <c r="A739" s="26">
        <f t="shared" si="30"/>
        <v>738</v>
      </c>
      <c r="B739" s="26" t="s">
        <v>10543</v>
      </c>
      <c r="C739" s="26" t="s">
        <v>10541</v>
      </c>
      <c r="D739" s="26" t="s">
        <v>10542</v>
      </c>
      <c r="E739" s="26" t="s">
        <v>10530</v>
      </c>
      <c r="F739" s="26" t="s">
        <v>116</v>
      </c>
      <c r="G739" s="26" t="s">
        <v>197</v>
      </c>
      <c r="H739" s="26" t="str">
        <f t="shared" ref="H739:H747" si="35">IF(LEFT(I739,4)="JK13","PULWAMA",IF(LEFT(I739,4)="JK01","SRINAGAR",IF(LEFT(I739,4)="JK04","BUDGAM",IF(LEFT(I739,4)="JK03","ANANTNAG",IF(LEFT(I739,4)="JK05","BARAMULLA",IF(LEFT(I739,4)="26BH","BHARAT",IF(LEFT(I739,4)="25BH","BHARAT",IF(LEFT(I739,4)="JK12","POONCH",IF(LEFT(I739,4)="JK16","GANDERBAL",IF(LEFT(I739,4)="JK18","KULGAM",IF(LEFT(I739,4)="JK22","SHOPIAN",IF(LEFT(I739,4)="JK02","JAMMU",IF(LEFT(I739,4)="JK09","KUPWARA",IF(LEFT(I739,4)="JK15","BANDIPORA",IF(LEFT(I739,4)="JK17","KISHTWAR",IF(LEFT(I739,4)="LA01","KARGIL",IF(LEFT(I739,1)="T","TEMP","NEW")))))))))))))))))</f>
        <v>SRINAGAR</v>
      </c>
      <c r="I739" s="26" t="s">
        <v>10551</v>
      </c>
      <c r="J739" s="27">
        <v>46151</v>
      </c>
      <c r="K739" s="26">
        <v>6006411019</v>
      </c>
      <c r="L739" s="26" t="s">
        <v>6515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 t="s">
        <v>10540</v>
      </c>
      <c r="C740" s="26" t="s">
        <v>10538</v>
      </c>
      <c r="D740" s="26" t="s">
        <v>10539</v>
      </c>
      <c r="E740" s="26" t="s">
        <v>10531</v>
      </c>
      <c r="F740" s="26" t="s">
        <v>65</v>
      </c>
      <c r="G740" s="26" t="s">
        <v>197</v>
      </c>
      <c r="H740" s="26" t="str">
        <f t="shared" si="35"/>
        <v>BARAMULLA</v>
      </c>
      <c r="I740" s="26" t="s">
        <v>10547</v>
      </c>
      <c r="J740" s="27">
        <v>46151</v>
      </c>
      <c r="K740" s="26">
        <v>7889456974</v>
      </c>
      <c r="L740" s="26" t="s">
        <v>2168</v>
      </c>
      <c r="M740" s="28" t="s">
        <v>7706</v>
      </c>
      <c r="N740" s="27">
        <v>46153</v>
      </c>
      <c r="O740" s="26" t="s">
        <v>23</v>
      </c>
      <c r="P740" s="29">
        <v>46153</v>
      </c>
      <c r="Q740" s="26" t="s">
        <v>6454</v>
      </c>
      <c r="R740" s="26"/>
    </row>
    <row r="741" spans="1:18" x14ac:dyDescent="0.25">
      <c r="A741" s="26">
        <f t="shared" si="30"/>
        <v>740</v>
      </c>
      <c r="B741" s="26" t="s">
        <v>10537</v>
      </c>
      <c r="C741" s="26" t="s">
        <v>10535</v>
      </c>
      <c r="D741" s="26" t="s">
        <v>10536</v>
      </c>
      <c r="E741" s="26" t="s">
        <v>10532</v>
      </c>
      <c r="F741" s="26" t="s">
        <v>5</v>
      </c>
      <c r="G741" s="26" t="s">
        <v>196</v>
      </c>
      <c r="H741" s="26" t="str">
        <f t="shared" si="35"/>
        <v>PULWAMA</v>
      </c>
      <c r="I741" s="26" t="s">
        <v>10548</v>
      </c>
      <c r="J741" s="27">
        <v>46151</v>
      </c>
      <c r="K741" s="26">
        <v>6006091335</v>
      </c>
      <c r="L741" s="26" t="s">
        <v>6515</v>
      </c>
      <c r="M741" s="28"/>
      <c r="N741" s="27"/>
      <c r="O741" s="26"/>
      <c r="P741" s="29"/>
      <c r="Q741" s="26"/>
      <c r="R741" s="26"/>
    </row>
    <row r="742" spans="1:18" x14ac:dyDescent="0.25">
      <c r="A742" s="26">
        <f t="shared" si="30"/>
        <v>741</v>
      </c>
      <c r="B742" s="26" t="s">
        <v>10546</v>
      </c>
      <c r="C742" s="26" t="s">
        <v>10544</v>
      </c>
      <c r="D742" s="26" t="s">
        <v>10545</v>
      </c>
      <c r="E742" s="26" t="s">
        <v>10529</v>
      </c>
      <c r="F742" s="26" t="s">
        <v>65</v>
      </c>
      <c r="G742" s="26" t="s">
        <v>197</v>
      </c>
      <c r="H742" s="26" t="str">
        <f t="shared" si="35"/>
        <v>SRINAGAR</v>
      </c>
      <c r="I742" s="26" t="s">
        <v>10550</v>
      </c>
      <c r="J742" s="27">
        <v>46153</v>
      </c>
      <c r="K742" s="26">
        <v>9419590065</v>
      </c>
      <c r="L742" s="26" t="s">
        <v>26</v>
      </c>
      <c r="M742" s="28"/>
      <c r="N742" s="27"/>
      <c r="O742" s="26" t="s">
        <v>23</v>
      </c>
      <c r="P742" s="29">
        <v>46153</v>
      </c>
      <c r="Q742" s="26" t="s">
        <v>6454</v>
      </c>
      <c r="R742" s="26"/>
    </row>
    <row r="743" spans="1:18" x14ac:dyDescent="0.25">
      <c r="A743" s="26">
        <f t="shared" si="30"/>
        <v>742</v>
      </c>
      <c r="B743" s="26" t="s">
        <v>10555</v>
      </c>
      <c r="C743" s="26" t="s">
        <v>10554</v>
      </c>
      <c r="D743" s="26" t="s">
        <v>10556</v>
      </c>
      <c r="E743" s="26" t="s">
        <v>10553</v>
      </c>
      <c r="F743" s="26" t="s">
        <v>5</v>
      </c>
      <c r="G743" s="26" t="s">
        <v>223</v>
      </c>
      <c r="H743" s="26" t="str">
        <f t="shared" si="35"/>
        <v>BANDIPORA</v>
      </c>
      <c r="I743" s="26" t="s">
        <v>10557</v>
      </c>
      <c r="J743" s="27">
        <v>46153</v>
      </c>
      <c r="K743" s="26">
        <v>9149777892</v>
      </c>
      <c r="L743" s="26" t="s">
        <v>6534</v>
      </c>
      <c r="M743" s="28" t="s">
        <v>7765</v>
      </c>
      <c r="N743" s="27">
        <v>46155</v>
      </c>
      <c r="O743" s="26"/>
      <c r="P743" s="29"/>
      <c r="Q743" s="26"/>
      <c r="R743" s="26"/>
    </row>
    <row r="744" spans="1:18" x14ac:dyDescent="0.25">
      <c r="A744" s="26">
        <f t="shared" si="30"/>
        <v>743</v>
      </c>
      <c r="B744" s="26" t="s">
        <v>10564</v>
      </c>
      <c r="C744" s="26" t="s">
        <v>10561</v>
      </c>
      <c r="D744" s="26" t="s">
        <v>10562</v>
      </c>
      <c r="E744" s="26" t="s">
        <v>10563</v>
      </c>
      <c r="F744" s="26" t="s">
        <v>5</v>
      </c>
      <c r="G744" s="26" t="s">
        <v>196</v>
      </c>
      <c r="H744" s="26" t="str">
        <f t="shared" si="35"/>
        <v>SHOPIAN</v>
      </c>
      <c r="I744" s="26" t="s">
        <v>10579</v>
      </c>
      <c r="J744" s="27">
        <v>46154</v>
      </c>
      <c r="K744" s="26">
        <v>6005768038</v>
      </c>
      <c r="L744" s="26" t="s">
        <v>6446</v>
      </c>
      <c r="M744" s="28"/>
      <c r="N744" s="27"/>
      <c r="O744" s="26"/>
      <c r="P744" s="29"/>
      <c r="Q744" s="26"/>
      <c r="R744" s="26"/>
    </row>
    <row r="745" spans="1:18" x14ac:dyDescent="0.25">
      <c r="A745" s="26">
        <f t="shared" si="30"/>
        <v>744</v>
      </c>
      <c r="B745" s="26" t="s">
        <v>10565</v>
      </c>
      <c r="C745" s="26" t="s">
        <v>10566</v>
      </c>
      <c r="D745" s="26" t="s">
        <v>10567</v>
      </c>
      <c r="E745" s="26" t="s">
        <v>10568</v>
      </c>
      <c r="F745" s="26" t="s">
        <v>5</v>
      </c>
      <c r="G745" s="26" t="s">
        <v>196</v>
      </c>
      <c r="H745" s="26" t="str">
        <f t="shared" si="35"/>
        <v>SRINAGAR</v>
      </c>
      <c r="I745" s="26" t="s">
        <v>10574</v>
      </c>
      <c r="J745" s="27">
        <v>46154</v>
      </c>
      <c r="K745" s="26">
        <v>7006263526</v>
      </c>
      <c r="L745" s="26" t="s">
        <v>26</v>
      </c>
      <c r="M745" s="28"/>
      <c r="N745" s="27"/>
      <c r="O745" s="26" t="s">
        <v>23</v>
      </c>
      <c r="P745" s="29">
        <v>46155</v>
      </c>
      <c r="Q745" s="26" t="s">
        <v>6454</v>
      </c>
      <c r="R745" s="26"/>
    </row>
    <row r="746" spans="1:18" x14ac:dyDescent="0.25">
      <c r="A746" s="26">
        <f t="shared" si="30"/>
        <v>745</v>
      </c>
      <c r="B746" s="26" t="s">
        <v>10569</v>
      </c>
      <c r="C746" s="26" t="s">
        <v>10570</v>
      </c>
      <c r="D746" s="26" t="s">
        <v>10571</v>
      </c>
      <c r="E746" s="26" t="s">
        <v>10572</v>
      </c>
      <c r="F746" s="26" t="s">
        <v>5</v>
      </c>
      <c r="G746" s="26" t="s">
        <v>196</v>
      </c>
      <c r="H746" s="26" t="str">
        <f t="shared" si="35"/>
        <v>ANANTNAG</v>
      </c>
      <c r="I746" s="26" t="s">
        <v>10573</v>
      </c>
      <c r="J746" s="27">
        <v>46154</v>
      </c>
      <c r="K746" s="26">
        <v>9149814956</v>
      </c>
      <c r="L746" s="26" t="s">
        <v>2168</v>
      </c>
      <c r="M746" s="28"/>
      <c r="N746" s="27"/>
      <c r="O746" s="26"/>
      <c r="P746" s="29"/>
      <c r="Q746" s="26"/>
      <c r="R746" s="26"/>
    </row>
    <row r="747" spans="1:18" x14ac:dyDescent="0.25">
      <c r="A747" s="26">
        <f t="shared" si="30"/>
        <v>746</v>
      </c>
      <c r="B747" s="26" t="s">
        <v>10575</v>
      </c>
      <c r="C747" s="26" t="s">
        <v>10576</v>
      </c>
      <c r="D747" s="26" t="s">
        <v>10577</v>
      </c>
      <c r="E747" s="26" t="s">
        <v>3539</v>
      </c>
      <c r="F747" s="26" t="s">
        <v>65</v>
      </c>
      <c r="G747" s="26" t="s">
        <v>196</v>
      </c>
      <c r="H747" s="26" t="str">
        <f t="shared" si="35"/>
        <v>PULWAMA</v>
      </c>
      <c r="I747" s="26" t="s">
        <v>10578</v>
      </c>
      <c r="J747" s="27">
        <v>46154</v>
      </c>
      <c r="K747" s="26">
        <v>9906403170</v>
      </c>
      <c r="L747" s="26" t="s">
        <v>6515</v>
      </c>
      <c r="M747" s="28"/>
      <c r="N747" s="27"/>
      <c r="O747" s="26"/>
      <c r="P747" s="29"/>
      <c r="Q747" s="26"/>
      <c r="R747" s="26"/>
    </row>
    <row r="748" spans="1:18" x14ac:dyDescent="0.25">
      <c r="A748" s="26">
        <f t="shared" si="30"/>
        <v>747</v>
      </c>
      <c r="B748" s="26" t="s">
        <v>10580</v>
      </c>
      <c r="C748" s="26" t="s">
        <v>10581</v>
      </c>
      <c r="D748" s="26" t="s">
        <v>10582</v>
      </c>
      <c r="E748" s="26" t="s">
        <v>10583</v>
      </c>
      <c r="F748" s="26" t="s">
        <v>5</v>
      </c>
      <c r="G748" s="26" t="s">
        <v>171</v>
      </c>
      <c r="H748" s="26" t="str">
        <f t="shared" ref="H748:H776" si="36">IF(LEFT(I748,4)="JK13","PULWAMA",IF(LEFT(I748,4)="JK01","SRINAGAR",IF(LEFT(I748,4)="JK04","BUDGAM",IF(LEFT(I748,4)="JK03","ANANTNAG",IF(LEFT(I748,4)="JK05","BARAMULLA",IF(LEFT(I748,4)="26BH","BHARAT",IF(LEFT(I748,4)="25BH","BHARAT",IF(LEFT(I748,4)="JK12","POONCH",IF(LEFT(I748,4)="JK16","GANDERBAL",IF(LEFT(I748,4)="JK18","KULGAM",IF(LEFT(I748,4)="JK22","SHOPIAN",IF(LEFT(I748,4)="JK02","JAMMU",IF(LEFT(I748,4)="JK09","KUPWARA",IF(LEFT(I748,4)="JK15","BANDIPORA",IF(LEFT(I748,4)="JK17","KISHTWAR",IF(LEFT(I748,4)="LA01","KARGIL",IF(LEFT(I748,1)="T","TEMP","NEW")))))))))))))))))</f>
        <v>SRINAGAR</v>
      </c>
      <c r="I748" s="26" t="s">
        <v>10588</v>
      </c>
      <c r="J748" s="27">
        <v>46154</v>
      </c>
      <c r="K748" s="26">
        <v>7051749282</v>
      </c>
      <c r="L748" s="26" t="s">
        <v>18</v>
      </c>
      <c r="M748" s="28"/>
      <c r="N748" s="27"/>
      <c r="O748" s="26" t="s">
        <v>23</v>
      </c>
      <c r="P748" s="29">
        <v>46155</v>
      </c>
      <c r="Q748" s="26" t="s">
        <v>6454</v>
      </c>
      <c r="R748" s="26"/>
    </row>
    <row r="749" spans="1:18" x14ac:dyDescent="0.25">
      <c r="A749" s="26">
        <f t="shared" si="30"/>
        <v>748</v>
      </c>
      <c r="B749" s="26" t="s">
        <v>10587</v>
      </c>
      <c r="C749" s="26" t="s">
        <v>10584</v>
      </c>
      <c r="D749" s="26" t="s">
        <v>10585</v>
      </c>
      <c r="E749" s="26" t="s">
        <v>10586</v>
      </c>
      <c r="F749" s="26" t="s">
        <v>98</v>
      </c>
      <c r="G749" s="26" t="s">
        <v>197</v>
      </c>
      <c r="H749" s="26" t="str">
        <f t="shared" si="36"/>
        <v>SRINAGAR</v>
      </c>
      <c r="I749" s="26" t="s">
        <v>10589</v>
      </c>
      <c r="J749" s="27">
        <v>46154</v>
      </c>
      <c r="K749" s="26">
        <v>9541013033</v>
      </c>
      <c r="L749" s="26" t="s">
        <v>173</v>
      </c>
      <c r="M749" s="28"/>
      <c r="N749" s="27"/>
      <c r="O749" s="26" t="s">
        <v>23</v>
      </c>
      <c r="P749" s="29">
        <v>46155</v>
      </c>
      <c r="Q749" s="26" t="s">
        <v>6454</v>
      </c>
      <c r="R749" s="26"/>
    </row>
    <row r="750" spans="1:18" x14ac:dyDescent="0.25">
      <c r="A750" s="26">
        <f t="shared" si="30"/>
        <v>749</v>
      </c>
      <c r="B750" s="26" t="s">
        <v>10593</v>
      </c>
      <c r="C750" s="26" t="s">
        <v>10590</v>
      </c>
      <c r="D750" s="26" t="s">
        <v>10591</v>
      </c>
      <c r="E750" s="26" t="s">
        <v>10592</v>
      </c>
      <c r="F750" s="26" t="s">
        <v>12</v>
      </c>
      <c r="G750" s="26" t="s">
        <v>171</v>
      </c>
      <c r="H750" s="26" t="str">
        <f t="shared" si="36"/>
        <v>SRINAGAR</v>
      </c>
      <c r="I750" s="26" t="s">
        <v>10599</v>
      </c>
      <c r="J750" s="27">
        <v>46155</v>
      </c>
      <c r="K750" s="26">
        <v>6006602208</v>
      </c>
      <c r="L750" s="26" t="s">
        <v>1122</v>
      </c>
      <c r="M750" s="28"/>
      <c r="N750" s="27"/>
      <c r="O750" s="26" t="s">
        <v>23</v>
      </c>
      <c r="P750" s="29">
        <v>46155</v>
      </c>
      <c r="Q750" s="26" t="s">
        <v>6454</v>
      </c>
      <c r="R750" s="26"/>
    </row>
    <row r="751" spans="1:18" x14ac:dyDescent="0.25">
      <c r="A751" s="26">
        <f t="shared" si="30"/>
        <v>750</v>
      </c>
      <c r="B751" s="26" t="s">
        <v>10594</v>
      </c>
      <c r="C751" s="26" t="s">
        <v>10595</v>
      </c>
      <c r="D751" s="26" t="s">
        <v>10596</v>
      </c>
      <c r="E751" s="26" t="s">
        <v>10597</v>
      </c>
      <c r="F751" s="26" t="s">
        <v>12</v>
      </c>
      <c r="G751" s="26" t="s">
        <v>223</v>
      </c>
      <c r="H751" s="26" t="str">
        <f t="shared" si="36"/>
        <v>ANANTNAG</v>
      </c>
      <c r="I751" s="26" t="s">
        <v>10598</v>
      </c>
      <c r="J751" s="27">
        <v>46155</v>
      </c>
      <c r="K751" s="26">
        <v>8492878158</v>
      </c>
      <c r="L751" s="26" t="s">
        <v>26</v>
      </c>
      <c r="M751" s="28"/>
      <c r="N751" s="27"/>
      <c r="O751" s="26"/>
      <c r="P751" s="29"/>
      <c r="Q751" s="26"/>
      <c r="R751" s="26"/>
    </row>
    <row r="752" spans="1:18" x14ac:dyDescent="0.25">
      <c r="A752" s="26">
        <f t="shared" si="30"/>
        <v>751</v>
      </c>
      <c r="B752" s="26" t="s">
        <v>10494</v>
      </c>
      <c r="C752" s="26" t="s">
        <v>10491</v>
      </c>
      <c r="D752" s="26" t="s">
        <v>10492</v>
      </c>
      <c r="E752" s="26" t="s">
        <v>10493</v>
      </c>
      <c r="F752" s="26" t="s">
        <v>5</v>
      </c>
      <c r="G752" s="26" t="s">
        <v>196</v>
      </c>
      <c r="H752" s="26" t="str">
        <f>IF(LEFT(I752,4)="JK13","PULWAMA",IF(LEFT(I752,4)="JK01","SRINAGAR",IF(LEFT(I752,4)="JK04","BUDGAM",IF(LEFT(I752,4)="JK03","ANANTNAG",IF(LEFT(I752,4)="JK05","BARAMULLA",IF(LEFT(I752,4)="26BH","BHARAT",IF(LEFT(I752,4)="25BH","BHARAT",IF(LEFT(I752,4)="JK12","POONCH",IF(LEFT(I752,4)="JK16","GANDERBAL",IF(LEFT(I752,4)="JK18","KULGAM",IF(LEFT(I752,4)="JK22","SHOPIAN",IF(LEFT(I752,4)="JK02","JAMMU",IF(LEFT(I752,4)="JK09","KUPWARA",IF(LEFT(I752,4)="JK15","BANDIPORA",IF(LEFT(I752,4)="JK17","KISHTWAR",IF(LEFT(I752,4)="LA01","KARGIL",IF(LEFT(I752,1)="T","TEMP","NEW")))))))))))))))))</f>
        <v>NEW</v>
      </c>
      <c r="I752" s="26" t="s">
        <v>10509</v>
      </c>
      <c r="J752" s="27">
        <v>46149</v>
      </c>
      <c r="K752" s="26">
        <v>8825019298</v>
      </c>
      <c r="L752" s="26" t="s">
        <v>26</v>
      </c>
      <c r="M752" s="28"/>
      <c r="N752" s="27"/>
      <c r="O752" s="26"/>
      <c r="P752" s="29"/>
      <c r="Q752" s="26"/>
      <c r="R752" s="26"/>
    </row>
    <row r="753" spans="1:18" x14ac:dyDescent="0.25">
      <c r="A753" s="26">
        <f t="shared" si="30"/>
        <v>752</v>
      </c>
      <c r="B753" s="26"/>
      <c r="C753" s="26"/>
      <c r="D753" s="26"/>
      <c r="E753" s="26"/>
      <c r="F753" s="26"/>
      <c r="G753" s="26"/>
      <c r="H753" s="26" t="str">
        <f t="shared" si="36"/>
        <v>NEW</v>
      </c>
      <c r="I753" s="26"/>
      <c r="J753" s="27"/>
      <c r="K753" s="26"/>
      <c r="L753" s="26"/>
      <c r="M753" s="28"/>
      <c r="N753" s="27"/>
      <c r="O753" s="26"/>
      <c r="P753" s="29"/>
      <c r="Q753" s="26"/>
      <c r="R753" s="26"/>
    </row>
    <row r="754" spans="1:18" x14ac:dyDescent="0.25">
      <c r="A754" s="26">
        <f t="shared" si="30"/>
        <v>753</v>
      </c>
      <c r="B754" s="26"/>
      <c r="C754" s="26"/>
      <c r="D754" s="26"/>
      <c r="E754" s="26"/>
      <c r="F754" s="26"/>
      <c r="G754" s="26"/>
      <c r="H754" s="26" t="str">
        <f t="shared" si="36"/>
        <v>NEW</v>
      </c>
      <c r="I754" s="26"/>
      <c r="J754" s="27"/>
      <c r="K754" s="26"/>
      <c r="L754" s="26"/>
      <c r="M754" s="28"/>
      <c r="N754" s="27"/>
      <c r="O754" s="26"/>
      <c r="P754" s="29"/>
      <c r="Q754" s="26"/>
      <c r="R754" s="26"/>
    </row>
    <row r="755" spans="1:18" x14ac:dyDescent="0.25">
      <c r="A755" s="26">
        <f t="shared" si="30"/>
        <v>754</v>
      </c>
      <c r="B755" s="26"/>
      <c r="C755" s="26"/>
      <c r="D755" s="26"/>
      <c r="E755" s="26"/>
      <c r="F755" s="26"/>
      <c r="G755" s="26"/>
      <c r="H755" s="26" t="str">
        <f t="shared" si="36"/>
        <v>NEW</v>
      </c>
      <c r="I755" s="26"/>
      <c r="J755" s="27"/>
      <c r="K755" s="26"/>
      <c r="L755" s="26"/>
      <c r="M755" s="28"/>
      <c r="N755" s="27"/>
      <c r="O755" s="26"/>
      <c r="P755" s="29"/>
      <c r="Q755" s="26"/>
      <c r="R755" s="26"/>
    </row>
    <row r="756" spans="1:18" x14ac:dyDescent="0.25">
      <c r="A756" s="26">
        <f t="shared" si="30"/>
        <v>755</v>
      </c>
      <c r="B756" s="26"/>
      <c r="C756" s="26"/>
      <c r="D756" s="26"/>
      <c r="E756" s="26"/>
      <c r="F756" s="26"/>
      <c r="G756" s="26"/>
      <c r="H756" s="26" t="str">
        <f t="shared" si="36"/>
        <v>NEW</v>
      </c>
      <c r="I756" s="26"/>
      <c r="J756" s="27"/>
      <c r="K756" s="26"/>
      <c r="L756" s="26"/>
      <c r="M756" s="28"/>
      <c r="N756" s="27"/>
      <c r="O756" s="26"/>
      <c r="P756" s="29"/>
      <c r="Q756" s="26"/>
      <c r="R756" s="26"/>
    </row>
    <row r="757" spans="1:18" x14ac:dyDescent="0.25">
      <c r="A757" s="26">
        <f t="shared" si="30"/>
        <v>756</v>
      </c>
      <c r="B757" s="26"/>
      <c r="C757" s="26"/>
      <c r="D757" s="26"/>
      <c r="E757" s="26"/>
      <c r="F757" s="26"/>
      <c r="G757" s="26"/>
      <c r="H757" s="26" t="str">
        <f t="shared" si="36"/>
        <v>NEW</v>
      </c>
      <c r="I757" s="26"/>
      <c r="J757" s="27"/>
      <c r="K757" s="26"/>
      <c r="L757" s="26"/>
      <c r="M757" s="28"/>
      <c r="N757" s="27"/>
      <c r="O757" s="26"/>
      <c r="P757" s="29"/>
      <c r="Q757" s="26"/>
      <c r="R757" s="26"/>
    </row>
    <row r="758" spans="1:18" x14ac:dyDescent="0.25">
      <c r="A758" s="26">
        <f t="shared" si="30"/>
        <v>757</v>
      </c>
      <c r="B758" s="26"/>
      <c r="C758" s="26"/>
      <c r="D758" s="26"/>
      <c r="E758" s="26"/>
      <c r="F758" s="26"/>
      <c r="G758" s="26"/>
      <c r="H758" s="26" t="str">
        <f t="shared" si="36"/>
        <v>NEW</v>
      </c>
      <c r="I758" s="26"/>
      <c r="J758" s="27"/>
      <c r="K758" s="26"/>
      <c r="L758" s="26"/>
      <c r="M758" s="28"/>
      <c r="N758" s="27"/>
      <c r="O758" s="26"/>
      <c r="P758" s="29"/>
      <c r="Q758" s="26"/>
      <c r="R758" s="26"/>
    </row>
    <row r="759" spans="1:18" x14ac:dyDescent="0.25">
      <c r="A759" s="26">
        <f t="shared" si="30"/>
        <v>758</v>
      </c>
      <c r="B759" s="26"/>
      <c r="C759" s="26"/>
      <c r="D759" s="26"/>
      <c r="E759" s="26"/>
      <c r="F759" s="26"/>
      <c r="G759" s="26"/>
      <c r="H759" s="26" t="str">
        <f t="shared" si="36"/>
        <v>NEW</v>
      </c>
      <c r="I759" s="26"/>
      <c r="J759" s="27"/>
      <c r="K759" s="26"/>
      <c r="L759" s="26"/>
      <c r="M759" s="28"/>
      <c r="N759" s="27"/>
      <c r="O759" s="26"/>
      <c r="P759" s="29"/>
      <c r="Q759" s="26"/>
      <c r="R759" s="26"/>
    </row>
    <row r="760" spans="1:18" x14ac:dyDescent="0.25">
      <c r="A760" s="26">
        <f t="shared" si="30"/>
        <v>759</v>
      </c>
      <c r="B760" s="26"/>
      <c r="C760" s="26"/>
      <c r="D760" s="26"/>
      <c r="E760" s="26"/>
      <c r="F760" s="26"/>
      <c r="G760" s="26"/>
      <c r="H760" s="26" t="str">
        <f t="shared" si="36"/>
        <v>NEW</v>
      </c>
      <c r="I760" s="26"/>
      <c r="J760" s="27"/>
      <c r="K760" s="26"/>
      <c r="L760" s="26"/>
      <c r="M760" s="28"/>
      <c r="N760" s="27"/>
      <c r="O760" s="26"/>
      <c r="P760" s="29"/>
      <c r="Q760" s="26"/>
      <c r="R760" s="26"/>
    </row>
    <row r="761" spans="1:18" x14ac:dyDescent="0.25">
      <c r="A761" s="26">
        <f t="shared" si="30"/>
        <v>760</v>
      </c>
      <c r="B761" s="26"/>
      <c r="C761" s="26"/>
      <c r="D761" s="26"/>
      <c r="E761" s="26"/>
      <c r="F761" s="26"/>
      <c r="G761" s="26"/>
      <c r="H761" s="26" t="str">
        <f t="shared" si="36"/>
        <v>NEW</v>
      </c>
      <c r="I761" s="26"/>
      <c r="J761" s="27"/>
      <c r="K761" s="26"/>
      <c r="L761" s="26"/>
      <c r="M761" s="28"/>
      <c r="N761" s="27"/>
      <c r="O761" s="26"/>
      <c r="P761" s="29"/>
      <c r="Q761" s="26"/>
      <c r="R761" s="26"/>
    </row>
    <row r="762" spans="1:18" x14ac:dyDescent="0.25">
      <c r="A762" s="26">
        <f t="shared" si="30"/>
        <v>761</v>
      </c>
      <c r="B762" s="26"/>
      <c r="C762" s="26"/>
      <c r="D762" s="26"/>
      <c r="E762" s="26"/>
      <c r="F762" s="26"/>
      <c r="G762" s="26"/>
      <c r="H762" s="26" t="str">
        <f t="shared" si="36"/>
        <v>NEW</v>
      </c>
      <c r="I762" s="26"/>
      <c r="J762" s="27"/>
      <c r="K762" s="26"/>
      <c r="L762" s="26"/>
      <c r="M762" s="28"/>
      <c r="N762" s="27"/>
      <c r="O762" s="26"/>
      <c r="P762" s="29"/>
      <c r="Q762" s="26"/>
      <c r="R762" s="26"/>
    </row>
    <row r="763" spans="1:18" x14ac:dyDescent="0.25">
      <c r="A763" s="26">
        <f t="shared" si="30"/>
        <v>762</v>
      </c>
      <c r="B763" s="26"/>
      <c r="C763" s="26"/>
      <c r="D763" s="26"/>
      <c r="E763" s="26"/>
      <c r="F763" s="26"/>
      <c r="G763" s="26"/>
      <c r="H763" s="26" t="str">
        <f t="shared" si="36"/>
        <v>NEW</v>
      </c>
      <c r="I763" s="26"/>
      <c r="J763" s="27"/>
      <c r="K763" s="26"/>
      <c r="L763" s="26"/>
      <c r="M763" s="28"/>
      <c r="N763" s="27"/>
      <c r="O763" s="26"/>
      <c r="P763" s="29"/>
      <c r="Q763" s="26"/>
      <c r="R763" s="26"/>
    </row>
    <row r="764" spans="1:18" x14ac:dyDescent="0.25">
      <c r="A764" s="26">
        <f t="shared" si="30"/>
        <v>763</v>
      </c>
      <c r="B764" s="26"/>
      <c r="C764" s="26"/>
      <c r="D764" s="26"/>
      <c r="E764" s="26"/>
      <c r="F764" s="26"/>
      <c r="G764" s="26"/>
      <c r="H764" s="26" t="str">
        <f t="shared" si="36"/>
        <v>NEW</v>
      </c>
      <c r="I764" s="26"/>
      <c r="J764" s="27"/>
      <c r="K764" s="26"/>
      <c r="L764" s="26"/>
      <c r="M764" s="28"/>
      <c r="N764" s="27"/>
      <c r="O764" s="26"/>
      <c r="P764" s="29"/>
      <c r="Q764" s="26"/>
      <c r="R764" s="26"/>
    </row>
    <row r="765" spans="1:18" x14ac:dyDescent="0.25">
      <c r="A765" s="26">
        <f t="shared" si="30"/>
        <v>764</v>
      </c>
      <c r="B765" s="26"/>
      <c r="C765" s="26"/>
      <c r="D765" s="26"/>
      <c r="E765" s="26"/>
      <c r="F765" s="26"/>
      <c r="G765" s="26"/>
      <c r="H765" s="26" t="str">
        <f t="shared" si="36"/>
        <v>NEW</v>
      </c>
      <c r="I765" s="26"/>
      <c r="J765" s="27"/>
      <c r="K765" s="26"/>
      <c r="L765" s="26"/>
      <c r="M765" s="28"/>
      <c r="N765" s="27"/>
      <c r="O765" s="26"/>
      <c r="P765" s="29"/>
      <c r="Q765" s="26"/>
      <c r="R765" s="26"/>
    </row>
    <row r="766" spans="1:18" x14ac:dyDescent="0.25">
      <c r="A766" s="26">
        <f t="shared" si="30"/>
        <v>765</v>
      </c>
      <c r="B766" s="26"/>
      <c r="C766" s="26"/>
      <c r="D766" s="26"/>
      <c r="E766" s="26"/>
      <c r="F766" s="26"/>
      <c r="G766" s="26"/>
      <c r="H766" s="26" t="str">
        <f t="shared" si="36"/>
        <v>NEW</v>
      </c>
      <c r="I766" s="26"/>
      <c r="J766" s="27"/>
      <c r="K766" s="26"/>
      <c r="L766" s="26"/>
      <c r="M766" s="28"/>
      <c r="N766" s="27"/>
      <c r="O766" s="26"/>
      <c r="P766" s="29"/>
      <c r="Q766" s="26"/>
      <c r="R766" s="26"/>
    </row>
    <row r="767" spans="1:18" x14ac:dyDescent="0.25">
      <c r="A767" s="26">
        <f t="shared" si="30"/>
        <v>766</v>
      </c>
      <c r="B767" s="26"/>
      <c r="C767" s="26"/>
      <c r="D767" s="26"/>
      <c r="E767" s="26"/>
      <c r="F767" s="26"/>
      <c r="G767" s="26"/>
      <c r="H767" s="26" t="str">
        <f t="shared" si="36"/>
        <v>NEW</v>
      </c>
      <c r="I767" s="26"/>
      <c r="J767" s="27"/>
      <c r="K767" s="26"/>
      <c r="L767" s="26"/>
      <c r="M767" s="28"/>
      <c r="N767" s="27"/>
      <c r="O767" s="26"/>
      <c r="P767" s="29"/>
      <c r="Q767" s="26"/>
      <c r="R767" s="26"/>
    </row>
    <row r="768" spans="1:18" x14ac:dyDescent="0.25">
      <c r="A768" s="26">
        <f t="shared" ref="A768:A776" si="37">ROW()-1</f>
        <v>767</v>
      </c>
      <c r="B768" s="26"/>
      <c r="C768" s="26"/>
      <c r="D768" s="26"/>
      <c r="E768" s="26"/>
      <c r="F768" s="26"/>
      <c r="G768" s="26"/>
      <c r="H768" s="26" t="str">
        <f t="shared" si="36"/>
        <v>NEW</v>
      </c>
      <c r="I768" s="26"/>
      <c r="J768" s="27"/>
      <c r="K768" s="26"/>
      <c r="L768" s="26"/>
      <c r="M768" s="28"/>
      <c r="N768" s="27"/>
      <c r="O768" s="26"/>
      <c r="P768" s="29"/>
      <c r="Q768" s="26"/>
      <c r="R768" s="26"/>
    </row>
    <row r="769" spans="1:18" x14ac:dyDescent="0.25">
      <c r="A769" s="26">
        <f t="shared" si="37"/>
        <v>768</v>
      </c>
      <c r="B769" s="26"/>
      <c r="C769" s="26"/>
      <c r="D769" s="26"/>
      <c r="E769" s="26"/>
      <c r="F769" s="26"/>
      <c r="G769" s="26"/>
      <c r="H769" s="26" t="str">
        <f t="shared" si="36"/>
        <v>NEW</v>
      </c>
      <c r="I769" s="26"/>
      <c r="J769" s="27"/>
      <c r="K769" s="26"/>
      <c r="L769" s="26"/>
      <c r="M769" s="28"/>
      <c r="N769" s="27"/>
      <c r="O769" s="26"/>
      <c r="P769" s="29"/>
      <c r="Q769" s="26"/>
      <c r="R769" s="26"/>
    </row>
    <row r="770" spans="1:18" x14ac:dyDescent="0.25">
      <c r="A770" s="26">
        <f t="shared" si="37"/>
        <v>769</v>
      </c>
      <c r="B770" s="26"/>
      <c r="C770" s="26"/>
      <c r="D770" s="26"/>
      <c r="E770" s="26"/>
      <c r="F770" s="26"/>
      <c r="G770" s="26"/>
      <c r="H770" s="26" t="str">
        <f t="shared" si="36"/>
        <v>NEW</v>
      </c>
      <c r="I770" s="26"/>
      <c r="J770" s="27"/>
      <c r="K770" s="26"/>
      <c r="L770" s="26"/>
      <c r="M770" s="28"/>
      <c r="N770" s="27"/>
      <c r="O770" s="26"/>
      <c r="P770" s="29"/>
      <c r="Q770" s="26"/>
      <c r="R770" s="26"/>
    </row>
    <row r="771" spans="1:18" x14ac:dyDescent="0.25">
      <c r="A771" s="26">
        <f t="shared" si="37"/>
        <v>770</v>
      </c>
      <c r="B771" s="26"/>
      <c r="C771" s="26"/>
      <c r="D771" s="26"/>
      <c r="E771" s="26"/>
      <c r="F771" s="26"/>
      <c r="G771" s="26"/>
      <c r="H771" s="26" t="str">
        <f t="shared" si="36"/>
        <v>NEW</v>
      </c>
      <c r="I771" s="26"/>
      <c r="J771" s="27"/>
      <c r="K771" s="26"/>
      <c r="L771" s="26"/>
      <c r="M771" s="28"/>
      <c r="N771" s="27"/>
      <c r="O771" s="26"/>
      <c r="P771" s="29"/>
      <c r="Q771" s="26"/>
      <c r="R771" s="26"/>
    </row>
    <row r="772" spans="1:18" x14ac:dyDescent="0.25">
      <c r="A772" s="26">
        <f t="shared" si="37"/>
        <v>771</v>
      </c>
      <c r="B772" s="26"/>
      <c r="C772" s="26"/>
      <c r="D772" s="26"/>
      <c r="E772" s="26"/>
      <c r="F772" s="26"/>
      <c r="G772" s="26"/>
      <c r="H772" s="26" t="str">
        <f t="shared" si="36"/>
        <v>NEW</v>
      </c>
      <c r="I772" s="26"/>
      <c r="J772" s="27"/>
      <c r="K772" s="26"/>
      <c r="L772" s="26"/>
      <c r="M772" s="28"/>
      <c r="N772" s="27"/>
      <c r="O772" s="26"/>
      <c r="P772" s="29"/>
      <c r="Q772" s="26"/>
      <c r="R772" s="26"/>
    </row>
    <row r="773" spans="1:18" x14ac:dyDescent="0.25">
      <c r="A773" s="26">
        <f t="shared" si="37"/>
        <v>772</v>
      </c>
      <c r="B773" s="26"/>
      <c r="C773" s="26"/>
      <c r="D773" s="26"/>
      <c r="E773" s="26"/>
      <c r="F773" s="26"/>
      <c r="G773" s="26"/>
      <c r="H773" s="26" t="str">
        <f t="shared" si="36"/>
        <v>NEW</v>
      </c>
      <c r="I773" s="26"/>
      <c r="J773" s="27"/>
      <c r="K773" s="26"/>
      <c r="L773" s="26"/>
      <c r="M773" s="28"/>
      <c r="N773" s="27"/>
      <c r="O773" s="26"/>
      <c r="P773" s="29"/>
      <c r="Q773" s="26"/>
      <c r="R773" s="26"/>
    </row>
    <row r="774" spans="1:18" x14ac:dyDescent="0.25">
      <c r="A774" s="26">
        <f t="shared" si="37"/>
        <v>773</v>
      </c>
      <c r="B774" s="26"/>
      <c r="C774" s="26"/>
      <c r="D774" s="26"/>
      <c r="E774" s="26"/>
      <c r="F774" s="26"/>
      <c r="G774" s="26"/>
      <c r="H774" s="26" t="str">
        <f t="shared" si="36"/>
        <v>NEW</v>
      </c>
      <c r="I774" s="26"/>
      <c r="J774" s="27"/>
      <c r="K774" s="26"/>
      <c r="L774" s="26"/>
      <c r="M774" s="28"/>
      <c r="N774" s="27"/>
      <c r="O774" s="26"/>
      <c r="P774" s="29"/>
      <c r="Q774" s="26"/>
      <c r="R774" s="26"/>
    </row>
    <row r="775" spans="1:18" x14ac:dyDescent="0.25">
      <c r="A775" s="26">
        <f t="shared" si="37"/>
        <v>774</v>
      </c>
      <c r="B775" s="26"/>
      <c r="C775" s="26"/>
      <c r="D775" s="26"/>
      <c r="E775" s="26"/>
      <c r="F775" s="26"/>
      <c r="G775" s="26"/>
      <c r="H775" s="26" t="str">
        <f t="shared" si="36"/>
        <v>NEW</v>
      </c>
      <c r="I775" s="26"/>
      <c r="J775" s="27"/>
      <c r="K775" s="26"/>
      <c r="L775" s="26"/>
      <c r="M775" s="28"/>
      <c r="N775" s="27"/>
      <c r="O775" s="26"/>
      <c r="P775" s="29"/>
      <c r="Q775" s="26"/>
      <c r="R775" s="26"/>
    </row>
    <row r="776" spans="1:18" x14ac:dyDescent="0.25">
      <c r="A776" s="26">
        <f t="shared" si="37"/>
        <v>775</v>
      </c>
      <c r="B776" s="26"/>
      <c r="C776" s="26"/>
      <c r="D776" s="26"/>
      <c r="E776" s="26"/>
      <c r="F776" s="26"/>
      <c r="G776" s="26"/>
      <c r="H776" s="26" t="str">
        <f t="shared" si="36"/>
        <v>NEW</v>
      </c>
      <c r="I776" s="26"/>
      <c r="J776" s="27"/>
      <c r="K776" s="26"/>
      <c r="L776" s="26"/>
      <c r="M776" s="28"/>
      <c r="N776" s="27"/>
      <c r="O776" s="26"/>
      <c r="P776" s="29"/>
      <c r="Q776" s="26"/>
      <c r="R776" s="26"/>
    </row>
    <row r="777" spans="1:18" ht="15.75" x14ac:dyDescent="0.25">
      <c r="A777" s="26"/>
      <c r="B777" s="26"/>
      <c r="C777" s="26"/>
      <c r="D777" s="26"/>
      <c r="E777" s="26"/>
      <c r="F777" s="26"/>
      <c r="G777" s="26"/>
      <c r="H777" s="1"/>
      <c r="I777" s="26"/>
      <c r="J777" s="12"/>
      <c r="K777" s="26"/>
      <c r="L777" s="26"/>
      <c r="M777" t="s">
        <v>43</v>
      </c>
    </row>
    <row r="778" spans="1:18" ht="15.75" x14ac:dyDescent="0.25">
      <c r="A778" s="26"/>
      <c r="B778" s="26"/>
      <c r="C778" s="26"/>
      <c r="D778" s="26"/>
      <c r="E778" s="26"/>
      <c r="F778" s="26"/>
      <c r="G778" s="26"/>
      <c r="H778" s="1"/>
      <c r="I778" s="13"/>
      <c r="K778" s="26"/>
      <c r="L778" s="26"/>
    </row>
    <row r="779" spans="1:18" x14ac:dyDescent="0.25">
      <c r="K779" s="26"/>
    </row>
    <row r="780" spans="1:18" x14ac:dyDescent="0.25">
      <c r="K780" s="26"/>
    </row>
    <row r="781" spans="1:18" x14ac:dyDescent="0.25">
      <c r="K781" s="26"/>
    </row>
    <row r="782" spans="1:18" x14ac:dyDescent="0.25">
      <c r="K782" s="26"/>
    </row>
    <row r="783" spans="1:18" x14ac:dyDescent="0.25">
      <c r="K783" s="26"/>
    </row>
    <row r="784" spans="1:18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x14ac:dyDescent="0.25">
      <c r="K829" s="26"/>
    </row>
    <row r="830" spans="11:11" x14ac:dyDescent="0.25">
      <c r="K830" s="26"/>
    </row>
    <row r="831" spans="11:11" x14ac:dyDescent="0.25">
      <c r="K831" s="26"/>
    </row>
    <row r="832" spans="11:11" x14ac:dyDescent="0.25">
      <c r="K832" s="26"/>
    </row>
    <row r="833" spans="11:11" x14ac:dyDescent="0.25">
      <c r="K833" s="26"/>
    </row>
    <row r="834" spans="11:11" x14ac:dyDescent="0.25">
      <c r="K834" s="26"/>
    </row>
    <row r="835" spans="11:11" x14ac:dyDescent="0.25">
      <c r="K835" s="26"/>
    </row>
    <row r="836" spans="11:11" x14ac:dyDescent="0.25">
      <c r="K836" s="26"/>
    </row>
    <row r="837" spans="11:11" x14ac:dyDescent="0.25">
      <c r="K837" s="26"/>
    </row>
    <row r="838" spans="11:11" x14ac:dyDescent="0.25">
      <c r="K838" s="26"/>
    </row>
    <row r="839" spans="11:11" x14ac:dyDescent="0.25">
      <c r="K839" s="26"/>
    </row>
    <row r="840" spans="11:11" x14ac:dyDescent="0.25">
      <c r="K840" s="26"/>
    </row>
    <row r="841" spans="11:11" x14ac:dyDescent="0.25">
      <c r="K841" s="26"/>
    </row>
    <row r="842" spans="11:11" x14ac:dyDescent="0.25">
      <c r="K842" s="26"/>
    </row>
    <row r="843" spans="11:11" x14ac:dyDescent="0.25">
      <c r="K843" s="26"/>
    </row>
    <row r="844" spans="11:11" x14ac:dyDescent="0.25">
      <c r="K844" s="26"/>
    </row>
    <row r="845" spans="11:11" x14ac:dyDescent="0.25">
      <c r="K845" s="26"/>
    </row>
    <row r="846" spans="11:11" x14ac:dyDescent="0.25">
      <c r="K846" s="26"/>
    </row>
    <row r="847" spans="11:11" x14ac:dyDescent="0.25">
      <c r="K847" s="26"/>
    </row>
    <row r="848" spans="11:11" x14ac:dyDescent="0.25">
      <c r="K848" s="26"/>
    </row>
    <row r="849" spans="11:11" x14ac:dyDescent="0.25">
      <c r="K849" s="26"/>
    </row>
    <row r="850" spans="11:11" x14ac:dyDescent="0.25">
      <c r="K850" s="26"/>
    </row>
    <row r="851" spans="11:11" x14ac:dyDescent="0.25">
      <c r="K851" s="26"/>
    </row>
    <row r="852" spans="11:11" x14ac:dyDescent="0.25">
      <c r="K852" s="26"/>
    </row>
    <row r="853" spans="11:11" x14ac:dyDescent="0.25">
      <c r="K853" s="26"/>
    </row>
    <row r="854" spans="11:11" x14ac:dyDescent="0.25">
      <c r="K854" s="26"/>
    </row>
    <row r="855" spans="11:11" x14ac:dyDescent="0.25">
      <c r="K855" s="26"/>
    </row>
    <row r="856" spans="11:11" x14ac:dyDescent="0.25">
      <c r="K856" s="26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5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L702:R707 M708:R708 A713:B713 A714:G726 I724:I726 H726 J726:J727 G727:I727 G728:H729 J728:K729 F730:H730 H731:H732 H734:J734 H735:K736 H737:H738 I737:K745 A739:B739 G739:H740 H741:H744 F745:H745 G746:H746 J746:K747 I746:I749 H747:H749 J748:J749 A754:R776 I777 A777:G778 K777:K856 H750:J753 K747:K753 K701:K734 A727:A738 A740:A753 I728:I734 J730:J733 G733:H733 G752:K752 B720:G753 L709:R753">
    <cfRule type="expression" dxfId="38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K777:L778">
    <cfRule type="expression" dxfId="37" priority="18">
      <formula>CELL("row")=ROW()</formula>
    </cfRule>
  </conditionalFormatting>
  <conditionalFormatting sqref="B257:G290 B291:B300 C291:G301">
    <cfRule type="expression" dxfId="36" priority="16">
      <formula>CELL("row")=ROW()</formula>
    </cfRule>
  </conditionalFormatting>
  <conditionalFormatting sqref="F398">
    <cfRule type="expression" dxfId="35" priority="11">
      <formula>CELL("row")=ROW()</formula>
    </cfRule>
  </conditionalFormatting>
  <conditionalFormatting sqref="F420">
    <cfRule type="expression" dxfId="34" priority="10">
      <formula>CELL("row")=ROW()</formula>
    </cfRule>
  </conditionalFormatting>
  <conditionalFormatting sqref="F326:G326">
    <cfRule type="expression" dxfId="33" priority="13">
      <formula>CELL("row")=ROW()</formula>
    </cfRule>
  </conditionalFormatting>
  <conditionalFormatting sqref="G266">
    <cfRule type="expression" dxfId="32" priority="15">
      <formula>CELL("row")=ROW()</formula>
    </cfRule>
  </conditionalFormatting>
  <conditionalFormatting sqref="I558">
    <cfRule type="expression" dxfId="31" priority="6">
      <formula>CELL("row")=ROW()</formula>
    </cfRule>
  </conditionalFormatting>
  <conditionalFormatting sqref="K672:K697 K698:L700 L701">
    <cfRule type="expression" dxfId="30" priority="3">
      <formula>CELL("row")=ROW()</formula>
    </cfRule>
  </conditionalFormatting>
  <conditionalFormatting sqref="L532:L535">
    <cfRule type="expression" dxfId="29" priority="8">
      <formula>CELL("row")=ROW()</formula>
    </cfRule>
  </conditionalFormatting>
  <conditionalFormatting sqref="M777:O778">
    <cfRule type="expression" dxfId="28" priority="27">
      <formula>ROW(O93)=HighlightRow</formula>
    </cfRule>
  </conditionalFormatting>
  <conditionalFormatting sqref="N698">
    <cfRule type="expression" dxfId="27" priority="1">
      <formula>CELL("row")=ROW()</formula>
    </cfRule>
  </conditionalFormatting>
  <conditionalFormatting sqref="P777:Q778">
    <cfRule type="expression" dxfId="26" priority="31">
      <formula>ROW(S93)=HighlightRow</formula>
    </cfRule>
  </conditionalFormatting>
  <conditionalFormatting sqref="S105:XFD105">
    <cfRule type="expression" dxfId="25" priority="32">
      <formula>ROW(T94)=HighlightRow</formula>
    </cfRule>
  </conditionalFormatting>
  <conditionalFormatting sqref="S106:XFD114">
    <cfRule type="expression" dxfId="24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82"/>
  <sheetViews>
    <sheetView topLeftCell="A456" zoomScaleNormal="100" workbookViewId="0">
      <selection activeCell="C474" sqref="C47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80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10533</v>
      </c>
      <c r="C469" s="26">
        <v>9682364085</v>
      </c>
      <c r="D469" s="26" t="s">
        <v>10534</v>
      </c>
      <c r="E469" s="26" t="s">
        <v>10522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10529</v>
      </c>
      <c r="C470" s="26">
        <v>9419590065</v>
      </c>
      <c r="D470" s="26" t="s">
        <v>10552</v>
      </c>
      <c r="E470" s="26" t="s">
        <v>10550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10558</v>
      </c>
      <c r="C471" s="26">
        <v>7889456974</v>
      </c>
      <c r="D471" s="26" t="s">
        <v>10559</v>
      </c>
      <c r="E471" s="26" t="s">
        <v>10547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10516</v>
      </c>
      <c r="C472" s="26">
        <v>6005859681</v>
      </c>
      <c r="D472" s="26" t="s">
        <v>10560</v>
      </c>
      <c r="E472" s="26" t="s">
        <v>10524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6" t="s">
        <v>10463</v>
      </c>
      <c r="C473" s="26">
        <v>9622856758</v>
      </c>
      <c r="D473" s="26" t="s">
        <v>10600</v>
      </c>
      <c r="E473" s="26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6" t="s">
        <v>10481</v>
      </c>
      <c r="C474" s="26">
        <v>9541581455</v>
      </c>
      <c r="D474" s="26" t="s">
        <v>10601</v>
      </c>
      <c r="E474" s="26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6" t="s">
        <v>10592</v>
      </c>
      <c r="C475" s="26">
        <v>6006602208</v>
      </c>
      <c r="D475" s="26" t="s">
        <v>10602</v>
      </c>
      <c r="E475" s="26" t="s">
        <v>10599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6" t="s">
        <v>10586</v>
      </c>
      <c r="C476" s="26">
        <v>9541013033</v>
      </c>
      <c r="D476" s="26" t="s">
        <v>10603</v>
      </c>
      <c r="E476" s="26" t="s">
        <v>10589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6" t="s">
        <v>10583</v>
      </c>
      <c r="C477" s="26">
        <v>7051749282</v>
      </c>
      <c r="D477" s="26" t="s">
        <v>10604</v>
      </c>
      <c r="E477" s="26" t="s">
        <v>10588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6"/>
      <c r="C478" s="26"/>
      <c r="D478" s="26"/>
      <c r="E478" s="26"/>
      <c r="F478" s="14"/>
      <c r="G478" s="14"/>
      <c r="H478" s="12"/>
    </row>
    <row r="479" spans="1:8" ht="15.75" x14ac:dyDescent="0.25">
      <c r="A479" s="12">
        <f t="shared" si="7"/>
        <v>477</v>
      </c>
      <c r="B479" s="12"/>
      <c r="C479" s="12"/>
      <c r="D479" s="12"/>
      <c r="E479" s="12"/>
      <c r="F479" s="14"/>
      <c r="G479" s="14"/>
      <c r="H479" s="12"/>
    </row>
    <row r="480" spans="1:8" ht="15.75" x14ac:dyDescent="0.25">
      <c r="A480" s="12">
        <f t="shared" si="7"/>
        <v>478</v>
      </c>
      <c r="B480" s="12"/>
      <c r="C480" s="12"/>
      <c r="D480" s="12"/>
      <c r="E480" s="12"/>
      <c r="F480" s="14"/>
      <c r="G480" s="14"/>
      <c r="H480" s="12"/>
    </row>
    <row r="481" spans="2:5" x14ac:dyDescent="0.25">
      <c r="B481" s="26"/>
      <c r="C481" s="26"/>
      <c r="D481" s="26"/>
      <c r="E481" s="26"/>
    </row>
    <row r="482" spans="2:5" x14ac:dyDescent="0.25">
      <c r="B482" s="26"/>
      <c r="C482" s="26"/>
      <c r="D482" s="26"/>
      <c r="E482" s="26"/>
    </row>
  </sheetData>
  <mergeCells count="1">
    <mergeCell ref="A1:H1"/>
  </mergeCells>
  <phoneticPr fontId="27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2026-05-13T12:04:03Z</dcterms:modified>
</cp:coreProperties>
</file>