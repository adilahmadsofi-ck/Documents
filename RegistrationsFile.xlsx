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2C712A8-B77E-4BD0-8919-9D4E6AD874FF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08" i="4" l="1"/>
  <c r="H709" i="4"/>
  <c r="H710" i="4"/>
  <c r="H711" i="4"/>
  <c r="H712" i="4"/>
  <c r="H713" i="4"/>
  <c r="H714" i="4"/>
  <c r="H715" i="4"/>
  <c r="H716" i="4"/>
  <c r="H717" i="4"/>
  <c r="H718" i="4"/>
  <c r="A708" i="4"/>
  <c r="A709" i="4"/>
  <c r="A710" i="4"/>
  <c r="A711" i="4"/>
  <c r="A712" i="4"/>
  <c r="A713" i="4"/>
  <c r="A714" i="4"/>
  <c r="A715" i="4"/>
  <c r="A716" i="4"/>
  <c r="A717" i="4"/>
  <c r="A718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H698" i="4"/>
  <c r="H699" i="4"/>
  <c r="H700" i="4"/>
  <c r="H701" i="4"/>
  <c r="H702" i="4"/>
  <c r="H703" i="4"/>
  <c r="H704" i="4"/>
  <c r="H705" i="4"/>
  <c r="H706" i="4"/>
  <c r="H707" i="4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<sst xmlns="http://schemas.openxmlformats.org/spreadsheetml/2006/main" count="26009" uniqueCount="10391">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</sst>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18" totalsRowShown="0" headerRowDxfId="81" dataDxfId="80">
  <autoFilter ref="A1:R718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63" totalsRowShown="0" headerRowDxfId="91" dataDxfId="90">
  <autoFilter ref="A2:H46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89"/>
    <tableColumn id="11" xr3:uid="{7AA66E15-5D81-45A6-A480-BC2F7EFDEB4C}" name="Name" dataDxfId="88"/>
    <tableColumn id="10" xr3:uid="{DA1D923C-25B3-4F76-823C-435E6464FF55}" name="Contact" dataDxfId="87"/>
    <tableColumn id="2" xr3:uid="{5FEBD558-5EB7-4421-BA25-DCAC1134B168}" name="Barcode No." dataDxfId="86"/>
    <tableColumn id="12" xr3:uid="{77758C8B-F2C8-47C0-B104-570729F9693B}" name="Reg Num" dataDxfId="85"/>
    <tableColumn id="5" xr3:uid="{9AC97A3F-3009-4A59-ACCF-A178780E6F61}" name="Date" dataDxfId="84"/>
    <tableColumn id="7" xr3:uid="{82C8F4C5-8489-4228-83CC-0B9666328CDD}" name="CHANNEL" dataDxfId="83"/>
    <tableColumn id="8" xr3:uid="{DDF1FC61-A0D6-46E9-9515-6DDC5AB1E932}" name="Status" dataDxfId="8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6" dataDxfId="35">
  <autoFilter ref="A2:I9" xr:uid="{74ED0DA7-B29F-4043-B63E-2DC322D6021E}"/>
  <tableColumns count="9">
    <tableColumn id="1" xr3:uid="{245016D5-DEB3-4F3E-B449-3096C2EF947B}" name="S.No." dataDxfId="34">
      <calculatedColumnFormula>ROW()-2</calculatedColumnFormula>
    </tableColumn>
    <tableColumn id="2" xr3:uid="{77ED4F47-8FDC-4F18-AB35-3830D899313B}" name="Dated" dataDxfId="33"/>
    <tableColumn id="3" xr3:uid="{67393A8B-58A2-4A4E-AA68-362B9B4F4E28}" name="Vehicle Num." dataDxfId="32"/>
    <tableColumn id="4" xr3:uid="{2C031EFD-E44B-468B-BEF0-3C97412F5E2E}" name="Name" dataDxfId="31"/>
    <tableColumn id="5" xr3:uid="{73873638-799E-44F5-B857-93DAE5E0F2FF}" name="Payment Mode" dataDxfId="30"/>
    <tableColumn id="6" xr3:uid="{BFB6E8F7-43C7-4B39-8FF0-E41A5EA5B2D3}" name="Trans Id." dataDxfId="29"/>
    <tableColumn id="8" xr3:uid="{3B1BF0B9-13BC-4A4E-B215-A3056576D199}" name="Trans. Date" dataDxfId="28"/>
    <tableColumn id="9" xr3:uid="{F64CF3FC-8352-46AE-80D1-01DDCE0247AC}" name="Amount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86"/>
  <sheetViews>
    <sheetView tabSelected="1" topLeftCell="G695" zoomScaleNormal="100" workbookViewId="0">
      <selection activeCell="N714" sqref="N71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 t="s">
        <v>7662</v>
      </c>
      <c r="N591" s="27">
        <v>46142</v>
      </c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8215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 t="s">
        <v>7766</v>
      </c>
      <c r="N640" s="27">
        <v>46142</v>
      </c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/>
      <c r="N683" s="27"/>
      <c r="O683" s="26"/>
      <c r="P683" s="29"/>
      <c r="Q683" s="26"/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 t="s">
        <v>7606</v>
      </c>
      <c r="N687" s="27">
        <v>46143</v>
      </c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 t="s">
        <v>10236</v>
      </c>
      <c r="N689" s="27">
        <v>46142</v>
      </c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 t="s">
        <v>10346</v>
      </c>
      <c r="N690" s="27">
        <v>46142</v>
      </c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 t="s">
        <v>7662</v>
      </c>
      <c r="N693" s="27">
        <v>46142</v>
      </c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 t="s">
        <v>7943</v>
      </c>
      <c r="N695" s="27">
        <v>46141</v>
      </c>
      <c r="O695" s="26" t="s">
        <v>23</v>
      </c>
      <c r="P695" s="29">
        <v>46141</v>
      </c>
      <c r="Q695" s="26" t="s">
        <v>6454</v>
      </c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8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8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/>
      <c r="N697" s="27"/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ref="H698:H707" si="29">IF(LEFT(I698,4)="JK13","PULWAMA",IF(LEFT(I698,4)="JK01","SRINAGAR",IF(LEFT(I698,4)="JK04","BUDGAM",IF(LEFT(I698,4)="JK03","ANANTNAG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</f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/>
      <c r="N698" s="27"/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9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 t="s">
        <v>10347</v>
      </c>
      <c r="N699" s="27">
        <v>46142</v>
      </c>
      <c r="O699" s="26" t="s">
        <v>23</v>
      </c>
      <c r="P699" s="29">
        <v>46141</v>
      </c>
      <c r="Q699" s="26" t="s">
        <v>6454</v>
      </c>
      <c r="R699" s="26"/>
    </row>
    <row r="700" spans="1:18" x14ac:dyDescent="0.25">
      <c r="A700" s="26">
        <f t="shared" si="20"/>
        <v>699</v>
      </c>
      <c r="B700" s="26" t="s">
        <v>10296</v>
      </c>
      <c r="C700" s="26" t="s">
        <v>10297</v>
      </c>
      <c r="D700" s="26" t="s">
        <v>10298</v>
      </c>
      <c r="E700" s="26" t="s">
        <v>1391</v>
      </c>
      <c r="F700" s="26" t="s">
        <v>116</v>
      </c>
      <c r="G700" s="26" t="s">
        <v>218</v>
      </c>
      <c r="H700" s="26" t="str">
        <f t="shared" si="29"/>
        <v>BUDGAM</v>
      </c>
      <c r="I700" s="26" t="s">
        <v>10307</v>
      </c>
      <c r="J700" s="27">
        <v>46141</v>
      </c>
      <c r="K700" s="26">
        <v>7780869535</v>
      </c>
      <c r="L700" s="26" t="s">
        <v>2168</v>
      </c>
      <c r="M700" s="28" t="s">
        <v>7706</v>
      </c>
      <c r="N700" s="27">
        <v>46142</v>
      </c>
      <c r="O700" s="26" t="s">
        <v>23</v>
      </c>
      <c r="P700" s="29">
        <v>46141</v>
      </c>
      <c r="Q700" s="26" t="s">
        <v>6454</v>
      </c>
      <c r="R700" s="26"/>
    </row>
    <row r="701" spans="1:18" x14ac:dyDescent="0.25">
      <c r="A701" s="26">
        <f t="shared" si="20"/>
        <v>700</v>
      </c>
      <c r="B701" s="26" t="s">
        <v>10299</v>
      </c>
      <c r="C701" s="26" t="s">
        <v>10300</v>
      </c>
      <c r="D701" s="26" t="s">
        <v>10301</v>
      </c>
      <c r="E701" s="26" t="s">
        <v>10302</v>
      </c>
      <c r="F701" s="26" t="s">
        <v>5</v>
      </c>
      <c r="G701" s="26" t="s">
        <v>196</v>
      </c>
      <c r="H701" s="26" t="str">
        <f t="shared" si="29"/>
        <v>SRINAGAR</v>
      </c>
      <c r="I701" s="26" t="s">
        <v>10308</v>
      </c>
      <c r="J701" s="27">
        <v>46141</v>
      </c>
      <c r="K701" s="26">
        <v>9622793345</v>
      </c>
      <c r="L701" s="26" t="s">
        <v>26</v>
      </c>
      <c r="M701" s="28" t="s">
        <v>7606</v>
      </c>
      <c r="N701" s="27">
        <v>46143</v>
      </c>
      <c r="O701" s="26" t="s">
        <v>23</v>
      </c>
      <c r="P701" s="29">
        <v>46141</v>
      </c>
      <c r="Q701" s="26" t="s">
        <v>6454</v>
      </c>
      <c r="R701" s="26"/>
    </row>
    <row r="702" spans="1:18" x14ac:dyDescent="0.25">
      <c r="A702" s="26">
        <f t="shared" si="20"/>
        <v>701</v>
      </c>
      <c r="B702" s="26" t="s">
        <v>10303</v>
      </c>
      <c r="C702" s="26" t="s">
        <v>10304</v>
      </c>
      <c r="D702" s="26" t="s">
        <v>10305</v>
      </c>
      <c r="E702" s="26" t="s">
        <v>10306</v>
      </c>
      <c r="F702" s="26" t="s">
        <v>65</v>
      </c>
      <c r="G702" s="26" t="s">
        <v>178</v>
      </c>
      <c r="H702" s="26" t="str">
        <f t="shared" si="29"/>
        <v>PULWAMA</v>
      </c>
      <c r="I702" s="26" t="s">
        <v>10309</v>
      </c>
      <c r="J702" s="27">
        <v>46141</v>
      </c>
      <c r="K702" s="26">
        <v>9906916201</v>
      </c>
      <c r="L702" s="26" t="s">
        <v>10243</v>
      </c>
      <c r="M702" s="28"/>
      <c r="N702" s="27"/>
      <c r="O702" s="26" t="s">
        <v>23</v>
      </c>
      <c r="P702" s="29">
        <v>46141</v>
      </c>
      <c r="Q702" s="26" t="s">
        <v>6454</v>
      </c>
      <c r="R702" s="26"/>
    </row>
    <row r="703" spans="1:18" x14ac:dyDescent="0.25">
      <c r="A703" s="26">
        <f t="shared" si="20"/>
        <v>702</v>
      </c>
      <c r="B703" s="26" t="s">
        <v>10315</v>
      </c>
      <c r="C703" s="26" t="s">
        <v>10316</v>
      </c>
      <c r="D703" s="26" t="s">
        <v>10317</v>
      </c>
      <c r="E703" s="26" t="s">
        <v>10318</v>
      </c>
      <c r="F703" s="26" t="s">
        <v>98</v>
      </c>
      <c r="G703" s="26" t="s">
        <v>178</v>
      </c>
      <c r="H703" s="26" t="str">
        <f t="shared" si="29"/>
        <v>KULGAM</v>
      </c>
      <c r="I703" s="26" t="s">
        <v>10320</v>
      </c>
      <c r="J703" s="27">
        <v>46141</v>
      </c>
      <c r="K703" s="26">
        <v>7780813464</v>
      </c>
      <c r="L703" s="26" t="s">
        <v>6534</v>
      </c>
      <c r="M703" s="28"/>
      <c r="N703" s="27"/>
      <c r="O703" s="26" t="s">
        <v>23</v>
      </c>
      <c r="P703" s="29">
        <v>46142</v>
      </c>
      <c r="Q703" s="26" t="s">
        <v>6454</v>
      </c>
      <c r="R703" s="26"/>
    </row>
    <row r="704" spans="1:18" x14ac:dyDescent="0.25">
      <c r="A704" s="26">
        <f t="shared" ref="A704:A718" si="30">ROW()-1</f>
        <v>703</v>
      </c>
      <c r="B704" s="26" t="s">
        <v>10322</v>
      </c>
      <c r="C704" s="26" t="s">
        <v>10323</v>
      </c>
      <c r="D704" s="26" t="s">
        <v>10325</v>
      </c>
      <c r="E704" s="26" t="s">
        <v>10324</v>
      </c>
      <c r="F704" s="26" t="s">
        <v>98</v>
      </c>
      <c r="G704" s="26" t="s">
        <v>223</v>
      </c>
      <c r="H704" s="26" t="str">
        <f t="shared" si="29"/>
        <v>BANDIPORA</v>
      </c>
      <c r="I704" s="26" t="s">
        <v>10336</v>
      </c>
      <c r="J704" s="27">
        <v>46142</v>
      </c>
      <c r="K704" s="26">
        <v>9596304308</v>
      </c>
      <c r="L704" s="26" t="s">
        <v>303</v>
      </c>
      <c r="M704" s="28" t="s">
        <v>8081</v>
      </c>
      <c r="N704" s="27">
        <v>46143</v>
      </c>
      <c r="O704" s="26" t="s">
        <v>23</v>
      </c>
      <c r="P704" s="29">
        <v>46142</v>
      </c>
      <c r="Q704" s="26" t="s">
        <v>6454</v>
      </c>
      <c r="R704" s="26"/>
    </row>
    <row r="705" spans="1:18" x14ac:dyDescent="0.25">
      <c r="A705" s="26">
        <f t="shared" si="30"/>
        <v>704</v>
      </c>
      <c r="B705" s="26" t="s">
        <v>10326</v>
      </c>
      <c r="C705" s="26" t="s">
        <v>10327</v>
      </c>
      <c r="D705" s="26" t="s">
        <v>10328</v>
      </c>
      <c r="E705" s="26" t="s">
        <v>10329</v>
      </c>
      <c r="F705" s="26" t="s">
        <v>98</v>
      </c>
      <c r="G705" s="26" t="s">
        <v>197</v>
      </c>
      <c r="H705" s="26" t="str">
        <f t="shared" si="29"/>
        <v>PULWAMA</v>
      </c>
      <c r="I705" s="26" t="s">
        <v>10335</v>
      </c>
      <c r="J705" s="27">
        <v>46142</v>
      </c>
      <c r="K705" s="26">
        <v>7006832228</v>
      </c>
      <c r="L705" s="26" t="s">
        <v>6564</v>
      </c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30"/>
        <v>705</v>
      </c>
      <c r="B706" s="26" t="s">
        <v>10330</v>
      </c>
      <c r="C706" s="26" t="s">
        <v>10331</v>
      </c>
      <c r="D706" s="26" t="s">
        <v>10332</v>
      </c>
      <c r="E706" s="26" t="s">
        <v>10333</v>
      </c>
      <c r="F706" s="26" t="s">
        <v>234</v>
      </c>
      <c r="G706" s="26" t="s">
        <v>6469</v>
      </c>
      <c r="H706" s="26" t="str">
        <f t="shared" si="29"/>
        <v>SRINAGAR</v>
      </c>
      <c r="I706" s="26" t="s">
        <v>10334</v>
      </c>
      <c r="J706" s="27">
        <v>46142</v>
      </c>
      <c r="K706" s="26">
        <v>9906838909</v>
      </c>
      <c r="L706" s="26" t="s">
        <v>191</v>
      </c>
      <c r="M706" s="28"/>
      <c r="N706" s="27"/>
      <c r="O706" s="26" t="s">
        <v>23</v>
      </c>
      <c r="P706" s="29">
        <v>46142</v>
      </c>
      <c r="Q706" s="26" t="s">
        <v>6454</v>
      </c>
      <c r="R706" s="26"/>
    </row>
    <row r="707" spans="1:18" x14ac:dyDescent="0.25">
      <c r="A707" s="26">
        <f t="shared" si="30"/>
        <v>706</v>
      </c>
      <c r="B707" s="26" t="s">
        <v>10337</v>
      </c>
      <c r="C707" s="26" t="s">
        <v>10341</v>
      </c>
      <c r="D707" s="26" t="s">
        <v>10342</v>
      </c>
      <c r="E707" s="26" t="s">
        <v>10343</v>
      </c>
      <c r="F707" s="26" t="s">
        <v>31</v>
      </c>
      <c r="G707" s="26" t="s">
        <v>196</v>
      </c>
      <c r="H707" s="26" t="str">
        <f t="shared" si="29"/>
        <v>SRINAGAR</v>
      </c>
      <c r="I707" s="26" t="s">
        <v>10344</v>
      </c>
      <c r="J707" s="27">
        <v>46142</v>
      </c>
      <c r="K707" s="26">
        <v>9906742075</v>
      </c>
      <c r="L707" s="26" t="s">
        <v>68</v>
      </c>
      <c r="M707" s="28"/>
      <c r="N707" s="27"/>
      <c r="O707" s="26" t="s">
        <v>23</v>
      </c>
      <c r="P707" s="29">
        <v>46142</v>
      </c>
      <c r="Q707" s="26" t="s">
        <v>6454</v>
      </c>
      <c r="R707" s="26"/>
    </row>
    <row r="708" spans="1:18" x14ac:dyDescent="0.25">
      <c r="A708" s="26">
        <f t="shared" si="30"/>
        <v>707</v>
      </c>
      <c r="B708" s="26" t="s">
        <v>10340</v>
      </c>
      <c r="C708" s="26" t="s">
        <v>10338</v>
      </c>
      <c r="D708" s="26" t="s">
        <v>10339</v>
      </c>
      <c r="E708" s="26" t="s">
        <v>1391</v>
      </c>
      <c r="F708" s="26" t="s">
        <v>116</v>
      </c>
      <c r="G708" s="26" t="s">
        <v>197</v>
      </c>
      <c r="H708" s="26" t="str">
        <f t="shared" ref="H708:H718" si="31">IF(LEFT(I708,4)="JK13","PULWAMA",IF(LEFT(I708,4)="JK01","SRINAGAR",IF(LEFT(I708,4)="JK04","BUDGAM",IF(LEFT(I708,4)="JK03","ANANTNAG",IF(LEFT(I708,4)="JK05","BARAMULLA",IF(LEFT(I708,4)="26BH","BHARAT",IF(LEFT(I708,4)="25BH","BHARAT",IF(LEFT(I708,4)="JK12","POONCH",IF(LEFT(I708,4)="JK16","GANDERBAL",IF(LEFT(I708,4)="JK18","KULGAM",IF(LEFT(I708,4)="JK22","SHOPIAN",IF(LEFT(I708,4)="JK02","JAMMU",IF(LEFT(I708,4)="JK09","KUPWARA",IF(LEFT(I708,4)="JK15","BANDIPORA",IF(LEFT(I708,4)="JK17","KISHTWAR",IF(LEFT(I708,4)="LA01","KARGIL",IF(LEFT(I708,1)="T","TEMP","NEW")))))))))))))))))</f>
        <v>SRINAGAR</v>
      </c>
      <c r="I708" s="26" t="s">
        <v>10345</v>
      </c>
      <c r="J708" s="27">
        <v>46142</v>
      </c>
      <c r="K708" s="26">
        <v>9541833250</v>
      </c>
      <c r="L708" s="27" t="s">
        <v>6446</v>
      </c>
      <c r="M708" s="28"/>
      <c r="N708" s="27"/>
      <c r="O708" s="26"/>
      <c r="P708" s="29"/>
      <c r="Q708" s="26"/>
      <c r="R708" s="26"/>
    </row>
    <row r="709" spans="1:18" x14ac:dyDescent="0.25">
      <c r="A709" s="26">
        <f t="shared" si="30"/>
        <v>708</v>
      </c>
      <c r="B709" s="26" t="s">
        <v>10348</v>
      </c>
      <c r="C709" s="26" t="s">
        <v>10349</v>
      </c>
      <c r="D709" s="26" t="s">
        <v>10358</v>
      </c>
      <c r="E709" s="26" t="s">
        <v>1137</v>
      </c>
      <c r="F709" s="26" t="s">
        <v>3126</v>
      </c>
      <c r="G709" s="26" t="s">
        <v>197</v>
      </c>
      <c r="H709" s="26" t="str">
        <f t="shared" si="31"/>
        <v>BANDIPORA</v>
      </c>
      <c r="I709" s="26" t="s">
        <v>10376</v>
      </c>
      <c r="J709" s="27">
        <v>46143</v>
      </c>
      <c r="K709" s="26">
        <v>9149755809</v>
      </c>
      <c r="L709" s="26" t="s">
        <v>303</v>
      </c>
      <c r="M709" s="28"/>
      <c r="N709" s="27"/>
      <c r="O709" s="26" t="s">
        <v>23</v>
      </c>
      <c r="P709" s="29">
        <v>46143</v>
      </c>
      <c r="Q709" s="26" t="s">
        <v>6454</v>
      </c>
      <c r="R709" s="26"/>
    </row>
    <row r="710" spans="1:18" x14ac:dyDescent="0.25">
      <c r="A710" s="26">
        <f t="shared" si="30"/>
        <v>709</v>
      </c>
      <c r="B710" s="26" t="s">
        <v>10350</v>
      </c>
      <c r="C710" s="26" t="s">
        <v>10351</v>
      </c>
      <c r="D710" s="26" t="s">
        <v>10357</v>
      </c>
      <c r="E710" s="26" t="s">
        <v>4017</v>
      </c>
      <c r="F710" s="26" t="s">
        <v>5</v>
      </c>
      <c r="G710" s="26" t="s">
        <v>178</v>
      </c>
      <c r="H710" s="26" t="str">
        <f t="shared" si="31"/>
        <v>PULWAMA</v>
      </c>
      <c r="I710" s="26" t="s">
        <v>10383</v>
      </c>
      <c r="J710" s="27">
        <v>46143</v>
      </c>
      <c r="K710" s="26">
        <v>9469244721</v>
      </c>
      <c r="L710" s="26" t="s">
        <v>73</v>
      </c>
      <c r="M710" s="28"/>
      <c r="N710" s="27"/>
      <c r="O710" s="26"/>
      <c r="P710" s="29"/>
      <c r="Q710" s="26"/>
      <c r="R710" s="26"/>
    </row>
    <row r="711" spans="1:18" x14ac:dyDescent="0.25">
      <c r="A711" s="26">
        <f t="shared" si="30"/>
        <v>710</v>
      </c>
      <c r="B711" s="26" t="s">
        <v>10352</v>
      </c>
      <c r="C711" s="26" t="s">
        <v>10353</v>
      </c>
      <c r="D711" s="26" t="s">
        <v>10360</v>
      </c>
      <c r="E711" s="26" t="s">
        <v>10354</v>
      </c>
      <c r="F711" s="26" t="s">
        <v>9501</v>
      </c>
      <c r="G711" s="26" t="s">
        <v>9502</v>
      </c>
      <c r="H711" s="26" t="str">
        <f t="shared" si="31"/>
        <v>SRINAGAR</v>
      </c>
      <c r="I711" s="26" t="s">
        <v>10377</v>
      </c>
      <c r="J711" s="27">
        <v>46143</v>
      </c>
      <c r="K711" s="26">
        <v>9906005757</v>
      </c>
      <c r="L711" s="26" t="s">
        <v>73</v>
      </c>
      <c r="M711" s="28" t="s">
        <v>6436</v>
      </c>
      <c r="N711" s="27"/>
      <c r="O711" s="26" t="s">
        <v>23</v>
      </c>
      <c r="P711" s="29">
        <v>46143</v>
      </c>
      <c r="Q711" s="26" t="s">
        <v>6454</v>
      </c>
      <c r="R711" s="26"/>
    </row>
    <row r="712" spans="1:18" x14ac:dyDescent="0.25">
      <c r="A712" s="26">
        <f t="shared" si="30"/>
        <v>711</v>
      </c>
      <c r="B712" s="26" t="s">
        <v>10355</v>
      </c>
      <c r="C712" s="26" t="s">
        <v>10356</v>
      </c>
      <c r="D712" s="26" t="s">
        <v>10359</v>
      </c>
      <c r="E712" s="26" t="s">
        <v>1568</v>
      </c>
      <c r="F712" s="26" t="s">
        <v>277</v>
      </c>
      <c r="G712" s="26" t="s">
        <v>196</v>
      </c>
      <c r="H712" s="26" t="str">
        <f t="shared" si="31"/>
        <v>SRINAGAR</v>
      </c>
      <c r="I712" s="26" t="s">
        <v>10380</v>
      </c>
      <c r="J712" s="27">
        <v>46143</v>
      </c>
      <c r="K712" s="26">
        <v>7006259385</v>
      </c>
      <c r="L712" s="26" t="s">
        <v>6823</v>
      </c>
      <c r="M712" s="28" t="s">
        <v>9116</v>
      </c>
      <c r="N712" s="27">
        <v>46143</v>
      </c>
      <c r="O712" s="26" t="s">
        <v>23</v>
      </c>
      <c r="P712" s="29">
        <v>46143</v>
      </c>
      <c r="Q712" s="26" t="s">
        <v>6454</v>
      </c>
      <c r="R712" s="26"/>
    </row>
    <row r="713" spans="1:18" x14ac:dyDescent="0.25">
      <c r="A713" s="26">
        <f t="shared" si="30"/>
        <v>712</v>
      </c>
      <c r="B713" s="26" t="s">
        <v>10361</v>
      </c>
      <c r="C713" s="26" t="s">
        <v>10362</v>
      </c>
      <c r="D713" s="26" t="s">
        <v>10363</v>
      </c>
      <c r="E713" s="26" t="s">
        <v>10364</v>
      </c>
      <c r="F713" s="26" t="s">
        <v>3126</v>
      </c>
      <c r="G713" s="26" t="s">
        <v>6469</v>
      </c>
      <c r="H713" s="26" t="str">
        <f t="shared" si="31"/>
        <v>SRINAGAR</v>
      </c>
      <c r="I713" s="26" t="s">
        <v>10381</v>
      </c>
      <c r="J713" s="27">
        <v>46143</v>
      </c>
      <c r="K713" s="26">
        <v>7006471127</v>
      </c>
      <c r="L713" s="26" t="s">
        <v>480</v>
      </c>
      <c r="M713" s="28"/>
      <c r="N713" s="27"/>
      <c r="O713" s="26"/>
      <c r="P713" s="29"/>
      <c r="Q713" s="26"/>
      <c r="R713" s="26"/>
    </row>
    <row r="714" spans="1:18" x14ac:dyDescent="0.25">
      <c r="A714" s="26">
        <f t="shared" si="30"/>
        <v>713</v>
      </c>
      <c r="B714" s="26" t="s">
        <v>10365</v>
      </c>
      <c r="C714" s="26" t="s">
        <v>10367</v>
      </c>
      <c r="D714" s="26" t="s">
        <v>10368</v>
      </c>
      <c r="E714" s="26" t="s">
        <v>10366</v>
      </c>
      <c r="F714" s="26" t="s">
        <v>36</v>
      </c>
      <c r="G714" s="26" t="s">
        <v>196</v>
      </c>
      <c r="H714" s="26" t="str">
        <f t="shared" si="31"/>
        <v>SRINAGAR</v>
      </c>
      <c r="I714" s="26" t="s">
        <v>10378</v>
      </c>
      <c r="J714" s="27">
        <v>46143</v>
      </c>
      <c r="K714" s="26">
        <v>9858469144</v>
      </c>
      <c r="L714" s="26" t="s">
        <v>191</v>
      </c>
      <c r="M714" s="28" t="s">
        <v>7585</v>
      </c>
      <c r="N714" s="27">
        <v>46143</v>
      </c>
      <c r="O714" s="26" t="s">
        <v>23</v>
      </c>
      <c r="P714" s="29">
        <v>46143</v>
      </c>
      <c r="Q714" s="26" t="s">
        <v>6454</v>
      </c>
      <c r="R714" s="26"/>
    </row>
    <row r="715" spans="1:18" x14ac:dyDescent="0.25">
      <c r="A715" s="26">
        <f t="shared" si="30"/>
        <v>714</v>
      </c>
      <c r="B715" s="26" t="s">
        <v>10369</v>
      </c>
      <c r="C715" s="26" t="s">
        <v>10370</v>
      </c>
      <c r="D715" s="26" t="s">
        <v>10371</v>
      </c>
      <c r="E715" s="26" t="s">
        <v>3336</v>
      </c>
      <c r="F715" s="26" t="s">
        <v>116</v>
      </c>
      <c r="G715" s="26" t="s">
        <v>172</v>
      </c>
      <c r="H715" s="26" t="str">
        <f t="shared" si="31"/>
        <v>SRINAGAR</v>
      </c>
      <c r="I715" s="26" t="s">
        <v>10379</v>
      </c>
      <c r="J715" s="27">
        <v>46143</v>
      </c>
      <c r="K715" s="26">
        <v>9682623401</v>
      </c>
      <c r="L715" s="26" t="s">
        <v>6823</v>
      </c>
      <c r="M715" s="28"/>
      <c r="N715" s="27"/>
      <c r="O715" s="26"/>
      <c r="P715" s="29"/>
      <c r="Q715" s="26"/>
      <c r="R715" s="26"/>
    </row>
    <row r="716" spans="1:18" x14ac:dyDescent="0.25">
      <c r="A716" s="26">
        <f t="shared" si="30"/>
        <v>715</v>
      </c>
      <c r="B716" s="26" t="s">
        <v>10372</v>
      </c>
      <c r="C716" s="26" t="s">
        <v>10373</v>
      </c>
      <c r="D716" s="26" t="s">
        <v>10374</v>
      </c>
      <c r="E716" s="26" t="s">
        <v>10375</v>
      </c>
      <c r="F716" s="26" t="s">
        <v>12</v>
      </c>
      <c r="G716" s="26" t="s">
        <v>197</v>
      </c>
      <c r="H716" s="26" t="str">
        <f t="shared" si="31"/>
        <v>PULWAMA</v>
      </c>
      <c r="I716" s="26" t="s">
        <v>10382</v>
      </c>
      <c r="J716" s="27">
        <v>46143</v>
      </c>
      <c r="K716" s="26">
        <v>7006189924</v>
      </c>
      <c r="L716" s="26" t="s">
        <v>6446</v>
      </c>
      <c r="M716" s="28"/>
      <c r="N716" s="27"/>
      <c r="O716" s="26"/>
      <c r="P716" s="29"/>
      <c r="Q716" s="26"/>
      <c r="R716" s="26"/>
    </row>
    <row r="717" spans="1:18" x14ac:dyDescent="0.25">
      <c r="A717" s="26">
        <f t="shared" si="30"/>
        <v>716</v>
      </c>
      <c r="B717" s="26"/>
      <c r="C717" s="26"/>
      <c r="D717" s="26"/>
      <c r="E717" s="26"/>
      <c r="F717" s="26"/>
      <c r="G717" s="26"/>
      <c r="H717" s="26" t="str">
        <f t="shared" si="31"/>
        <v>NEW</v>
      </c>
      <c r="I717" s="26"/>
      <c r="J717" s="27"/>
      <c r="K717" s="26"/>
      <c r="L717" s="26"/>
      <c r="M717" s="28"/>
      <c r="N717" s="27"/>
      <c r="O717" s="26"/>
      <c r="P717" s="29"/>
      <c r="Q717" s="26"/>
      <c r="R717" s="26"/>
    </row>
    <row r="718" spans="1:18" x14ac:dyDescent="0.25">
      <c r="A718" s="26">
        <f t="shared" si="30"/>
        <v>717</v>
      </c>
      <c r="B718" s="26"/>
      <c r="C718" s="26"/>
      <c r="D718" s="26"/>
      <c r="E718" s="26"/>
      <c r="F718" s="26"/>
      <c r="G718" s="26"/>
      <c r="H718" s="26" t="str">
        <f t="shared" si="31"/>
        <v>NEW</v>
      </c>
      <c r="I718" s="26"/>
      <c r="J718" s="27"/>
      <c r="K718" s="26"/>
      <c r="L718" s="26"/>
      <c r="M718" s="28"/>
      <c r="N718" s="27"/>
      <c r="O718" s="26"/>
      <c r="P718" s="29"/>
      <c r="Q718" s="26"/>
      <c r="R718" s="26"/>
    </row>
    <row r="719" spans="1:18" ht="15.75" x14ac:dyDescent="0.25">
      <c r="A719" s="26"/>
      <c r="B719" s="26"/>
      <c r="C719" s="26"/>
      <c r="D719" s="26"/>
      <c r="E719" s="26"/>
      <c r="F719" s="26"/>
      <c r="G719" s="26"/>
      <c r="H719" s="1"/>
      <c r="I719" s="26"/>
      <c r="J719" s="12"/>
      <c r="K719" s="26"/>
      <c r="L719" s="26"/>
      <c r="M719" t="s">
        <v>43</v>
      </c>
    </row>
    <row r="720" spans="1:18" ht="15.75" x14ac:dyDescent="0.25">
      <c r="A720" s="26"/>
      <c r="B720" s="26"/>
      <c r="C720" s="26"/>
      <c r="D720" s="26"/>
      <c r="E720" s="26"/>
      <c r="F720" s="26"/>
      <c r="G720" s="26"/>
      <c r="H720" s="1"/>
      <c r="I720" s="13"/>
      <c r="K720" s="26"/>
      <c r="L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x14ac:dyDescent="0.25">
      <c r="K772" s="26"/>
    </row>
    <row r="773" spans="11:11" x14ac:dyDescent="0.25">
      <c r="K773" s="26"/>
    </row>
    <row r="774" spans="11:11" x14ac:dyDescent="0.25">
      <c r="K774" s="26"/>
    </row>
    <row r="775" spans="11:11" x14ac:dyDescent="0.25">
      <c r="K775" s="26"/>
    </row>
    <row r="776" spans="11:11" x14ac:dyDescent="0.25">
      <c r="K776" s="26"/>
    </row>
    <row r="777" spans="11:11" x14ac:dyDescent="0.25">
      <c r="K777" s="26"/>
    </row>
    <row r="778" spans="11:11" x14ac:dyDescent="0.25">
      <c r="K778" s="26"/>
    </row>
    <row r="779" spans="11:11" x14ac:dyDescent="0.25">
      <c r="K779" s="26"/>
    </row>
    <row r="780" spans="11:11" x14ac:dyDescent="0.25">
      <c r="K780" s="26"/>
    </row>
    <row r="781" spans="11:11" x14ac:dyDescent="0.25">
      <c r="K781" s="26"/>
    </row>
    <row r="782" spans="11:11" x14ac:dyDescent="0.25">
      <c r="K782" s="26"/>
    </row>
    <row r="783" spans="11:11" x14ac:dyDescent="0.25">
      <c r="K783" s="26"/>
    </row>
    <row r="784" spans="11:11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x14ac:dyDescent="0.25">
      <c r="K788" s="26"/>
    </row>
    <row r="789" spans="11:11" x14ac:dyDescent="0.25">
      <c r="K789" s="26"/>
    </row>
    <row r="790" spans="11:11" x14ac:dyDescent="0.25">
      <c r="K790" s="26"/>
    </row>
    <row r="791" spans="11:11" x14ac:dyDescent="0.25">
      <c r="K791" s="26"/>
    </row>
    <row r="792" spans="11:11" x14ac:dyDescent="0.25">
      <c r="K792" s="26"/>
    </row>
    <row r="793" spans="11:11" x14ac:dyDescent="0.25">
      <c r="K793" s="26"/>
    </row>
    <row r="794" spans="11:11" x14ac:dyDescent="0.25">
      <c r="K794" s="26"/>
    </row>
    <row r="795" spans="11:11" x14ac:dyDescent="0.25">
      <c r="K795" s="26"/>
    </row>
    <row r="796" spans="11:11" x14ac:dyDescent="0.25">
      <c r="K796" s="26"/>
    </row>
    <row r="797" spans="11:11" x14ac:dyDescent="0.25">
      <c r="K797" s="26"/>
    </row>
    <row r="798" spans="11:11" x14ac:dyDescent="0.25">
      <c r="K798" s="26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ht="15.75" x14ac:dyDescent="0.25">
      <c r="K802" s="12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x14ac:dyDescent="0.25">
      <c r="K848" s="25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</sheetData>
  <conditionalFormatting sqref="A564:A712 A645:F645 K652:K670 G664:J666 G667:H668 I667:J670 F669:H669 G670:H670 I670:I691 B673:G713 L679:R697 H683:H691 J683:J691 A692:J692 F693:J693 I693:I698 F694:H694 J694 F695:J695 G696:H696 J696:J697 H697 M698:R701 H698:J717 L702:R707 M708:R708 L709:R717 A713:B713 A714:G717 A718:R718 I719 K721:K798">
    <cfRule type="expression" dxfId="25" priority="2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A719:G720 K719:L720">
    <cfRule type="expression" dxfId="24" priority="16">
      <formula>CELL("row")=ROW()</formula>
    </cfRule>
  </conditionalFormatting>
  <conditionalFormatting sqref="B257:G290 B291:B300 C291:G301">
    <cfRule type="expression" dxfId="23" priority="14">
      <formula>CELL("row")=ROW()</formula>
    </cfRule>
  </conditionalFormatting>
  <conditionalFormatting sqref="F398">
    <cfRule type="expression" dxfId="22" priority="9">
      <formula>CELL("row")=ROW()</formula>
    </cfRule>
  </conditionalFormatting>
  <conditionalFormatting sqref="F420">
    <cfRule type="expression" dxfId="21" priority="8">
      <formula>CELL("row")=ROW()</formula>
    </cfRule>
  </conditionalFormatting>
  <conditionalFormatting sqref="F326:G326">
    <cfRule type="expression" dxfId="20" priority="11">
      <formula>CELL("row")=ROW()</formula>
    </cfRule>
  </conditionalFormatting>
  <conditionalFormatting sqref="G266">
    <cfRule type="expression" dxfId="19" priority="13">
      <formula>CELL("row")=ROW()</formula>
    </cfRule>
  </conditionalFormatting>
  <conditionalFormatting sqref="I558">
    <cfRule type="expression" dxfId="18" priority="4">
      <formula>CELL("row")=ROW()</formula>
    </cfRule>
  </conditionalFormatting>
  <conditionalFormatting sqref="K672:K697 K698:L700 L701 K701:K717">
    <cfRule type="expression" dxfId="17" priority="1">
      <formula>CELL("row")=ROW()</formula>
    </cfRule>
  </conditionalFormatting>
  <conditionalFormatting sqref="L532:L535">
    <cfRule type="expression" dxfId="16" priority="6">
      <formula>CELL("row")=ROW()</formula>
    </cfRule>
  </conditionalFormatting>
  <conditionalFormatting sqref="M719:O720">
    <cfRule type="expression" dxfId="15" priority="25">
      <formula>ROW(O93)=HighlightRow</formula>
    </cfRule>
  </conditionalFormatting>
  <conditionalFormatting sqref="P719:Q720">
    <cfRule type="expression" dxfId="14" priority="29">
      <formula>ROW(S93)=HighlightRow</formula>
    </cfRule>
  </conditionalFormatting>
  <conditionalFormatting sqref="S105:XFD105">
    <cfRule type="expression" dxfId="13" priority="30">
      <formula>ROW(T94)=HighlightRow</formula>
    </cfRule>
  </conditionalFormatting>
  <conditionalFormatting sqref="S106:XFD114">
    <cfRule type="expression" dxfId="12" priority="27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31" zoomScaleNormal="100" workbookViewId="0">
      <selection activeCell="B943" sqref="B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65"/>
  <sheetViews>
    <sheetView topLeftCell="A434" zoomScaleNormal="100" workbookViewId="0">
      <selection activeCell="F453" sqref="F45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6" t="s">
        <v>10302</v>
      </c>
      <c r="C441" s="26">
        <v>9622793345</v>
      </c>
      <c r="D441" s="26" t="s">
        <v>10311</v>
      </c>
      <c r="E441" s="26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6" t="s">
        <v>10270</v>
      </c>
      <c r="C442" s="26">
        <v>7780838222</v>
      </c>
      <c r="D442" s="26" t="s">
        <v>10312</v>
      </c>
      <c r="E442" s="26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6" t="s">
        <v>10310</v>
      </c>
      <c r="C443" s="26">
        <v>7889514057</v>
      </c>
      <c r="D443" s="26" t="s">
        <v>10313</v>
      </c>
      <c r="E443" s="26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6" t="s">
        <v>1391</v>
      </c>
      <c r="C444" s="26">
        <v>7780869535</v>
      </c>
      <c r="D444" s="26" t="s">
        <v>10314</v>
      </c>
      <c r="E444" s="26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6" t="s">
        <v>10306</v>
      </c>
      <c r="C445" s="26">
        <v>9906916201</v>
      </c>
      <c r="D445" s="26" t="s">
        <v>10319</v>
      </c>
      <c r="E445" s="26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6" t="s">
        <v>10318</v>
      </c>
      <c r="C446" s="26">
        <v>7780813464</v>
      </c>
      <c r="D446" s="26" t="s">
        <v>10321</v>
      </c>
      <c r="E446" s="26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6" t="s">
        <v>10333</v>
      </c>
      <c r="C447" s="26">
        <v>9906838909</v>
      </c>
      <c r="D447" s="26" t="s">
        <v>10384</v>
      </c>
      <c r="E447" s="26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6" t="s">
        <v>10343</v>
      </c>
      <c r="C448" s="26">
        <v>9906742075</v>
      </c>
      <c r="D448" s="26" t="s">
        <v>10385</v>
      </c>
      <c r="E448" s="26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6" t="s">
        <v>10324</v>
      </c>
      <c r="C449" s="26">
        <v>9596304308</v>
      </c>
      <c r="D449" s="26" t="s">
        <v>10386</v>
      </c>
      <c r="E449" s="26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6" t="s">
        <v>1137</v>
      </c>
      <c r="C450" s="26">
        <v>9149755809</v>
      </c>
      <c r="D450" s="26" t="s">
        <v>10387</v>
      </c>
      <c r="E450" s="26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6" t="s">
        <v>1568</v>
      </c>
      <c r="C451" s="26">
        <v>9103322648</v>
      </c>
      <c r="D451" s="26" t="s">
        <v>10388</v>
      </c>
      <c r="E451" s="26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6" t="s">
        <v>10366</v>
      </c>
      <c r="C452" s="26">
        <v>9858469144</v>
      </c>
      <c r="D452" s="26" t="s">
        <v>10389</v>
      </c>
      <c r="E452" s="26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12" t="s">
        <v>10354</v>
      </c>
      <c r="C453" s="12"/>
      <c r="D453" s="26" t="s">
        <v>10390</v>
      </c>
      <c r="E453" s="12" t="s">
        <v>10377</v>
      </c>
      <c r="F453" s="14">
        <v>46143</v>
      </c>
      <c r="G453" s="14"/>
      <c r="H453" s="12"/>
    </row>
    <row r="454" spans="1:8" ht="15.75" x14ac:dyDescent="0.25">
      <c r="A454" s="12">
        <f t="shared" si="6"/>
        <v>452</v>
      </c>
      <c r="B454" s="12"/>
      <c r="C454" s="12"/>
      <c r="D454" s="12"/>
      <c r="E454" s="12"/>
      <c r="F454" s="14"/>
      <c r="G454" s="14"/>
      <c r="H454" s="12"/>
    </row>
    <row r="455" spans="1:8" ht="15.75" x14ac:dyDescent="0.25">
      <c r="A455" s="12">
        <f t="shared" ref="A455:A463" si="7">ROW()-2</f>
        <v>453</v>
      </c>
      <c r="B455" s="12"/>
      <c r="C455" s="12"/>
      <c r="D455" s="12"/>
      <c r="E455" s="12"/>
      <c r="F455" s="14"/>
      <c r="G455" s="14"/>
      <c r="H455" s="12"/>
    </row>
    <row r="456" spans="1:8" ht="15.75" x14ac:dyDescent="0.25">
      <c r="A456" s="12">
        <f t="shared" si="7"/>
        <v>454</v>
      </c>
      <c r="B456" s="12"/>
      <c r="C456" s="12"/>
      <c r="D456" s="12"/>
      <c r="E456" s="12"/>
      <c r="F456" s="14"/>
      <c r="G456" s="14"/>
      <c r="H456" s="12"/>
    </row>
    <row r="457" spans="1:8" ht="15.75" x14ac:dyDescent="0.25">
      <c r="A457" s="12">
        <f t="shared" si="7"/>
        <v>455</v>
      </c>
      <c r="B457" s="12"/>
      <c r="C457" s="12"/>
      <c r="D457" s="12"/>
      <c r="E457" s="12"/>
      <c r="F457" s="14"/>
      <c r="G457" s="14"/>
      <c r="H457" s="12"/>
    </row>
    <row r="458" spans="1:8" ht="15.75" x14ac:dyDescent="0.25">
      <c r="A458" s="12">
        <f t="shared" si="7"/>
        <v>456</v>
      </c>
      <c r="B458" s="12"/>
      <c r="C458" s="12"/>
      <c r="D458" s="12"/>
      <c r="E458" s="12"/>
      <c r="F458" s="14"/>
      <c r="G458" s="14"/>
      <c r="H458" s="12"/>
    </row>
    <row r="459" spans="1:8" ht="15.75" x14ac:dyDescent="0.25">
      <c r="A459" s="12">
        <f t="shared" si="7"/>
        <v>457</v>
      </c>
      <c r="B459" s="12"/>
      <c r="C459" s="12"/>
      <c r="D459" s="12"/>
      <c r="E459" s="12"/>
      <c r="F459" s="14"/>
      <c r="G459" s="14"/>
      <c r="H459" s="12"/>
    </row>
    <row r="460" spans="1:8" ht="15.75" x14ac:dyDescent="0.25">
      <c r="A460" s="12">
        <f t="shared" si="7"/>
        <v>458</v>
      </c>
      <c r="B460" s="12"/>
      <c r="C460" s="12"/>
      <c r="D460" s="12"/>
      <c r="E460" s="12"/>
      <c r="F460" s="14"/>
      <c r="G460" s="14"/>
      <c r="H460" s="12"/>
    </row>
    <row r="461" spans="1:8" ht="15.75" x14ac:dyDescent="0.25">
      <c r="A461" s="12">
        <f t="shared" si="7"/>
        <v>459</v>
      </c>
      <c r="B461" s="12"/>
      <c r="C461" s="12"/>
      <c r="D461" s="12"/>
      <c r="E461" s="12"/>
      <c r="F461" s="14"/>
      <c r="G461" s="14"/>
      <c r="H461" s="12"/>
    </row>
    <row r="462" spans="1:8" ht="15.75" x14ac:dyDescent="0.25">
      <c r="A462" s="12">
        <f t="shared" si="7"/>
        <v>460</v>
      </c>
      <c r="B462" s="12"/>
      <c r="C462" s="12"/>
      <c r="D462" s="12"/>
      <c r="E462" s="12"/>
      <c r="F462" s="14"/>
      <c r="G462" s="14"/>
      <c r="H462" s="12"/>
    </row>
    <row r="463" spans="1:8" ht="15.75" x14ac:dyDescent="0.25">
      <c r="A463" s="12">
        <f t="shared" si="7"/>
        <v>461</v>
      </c>
      <c r="B463" s="12"/>
      <c r="C463" s="12"/>
      <c r="D463" s="12"/>
      <c r="E463" s="12"/>
      <c r="F463" s="14"/>
      <c r="G463" s="14"/>
      <c r="H463" s="12"/>
    </row>
    <row r="464" spans="1:8" x14ac:dyDescent="0.25">
      <c r="B464" s="26"/>
      <c r="C464" s="26"/>
      <c r="D464" s="26"/>
      <c r="E464" s="26"/>
    </row>
    <row r="465" spans="2:5" x14ac:dyDescent="0.25">
      <c r="B465" s="26"/>
      <c r="C465" s="26"/>
      <c r="D465" s="26"/>
      <c r="E465" s="26"/>
    </row>
  </sheetData>
  <mergeCells count="1">
    <mergeCell ref="A1:H1"/>
  </mergeCells>
  <phoneticPr fontId="27" type="noConversion"/>
  <conditionalFormatting sqref="B252:C252 B311:E465">
    <cfRule type="expression" dxfId="11" priority="22">
      <formula>CELL("row")=ROW()</formula>
    </cfRule>
  </conditionalFormatting>
  <conditionalFormatting sqref="B192:D193 D194:D195 B196:D211">
    <cfRule type="expression" dxfId="10" priority="28">
      <formula>CELL("row")=ROW()</formula>
    </cfRule>
  </conditionalFormatting>
  <conditionalFormatting sqref="B3:E309 B304:C313 D310:E310">
    <cfRule type="expression" dxfId="9" priority="49">
      <formula>CELL("row")=ROW()</formula>
    </cfRule>
  </conditionalFormatting>
  <conditionalFormatting sqref="C104">
    <cfRule type="expression" dxfId="8" priority="48">
      <formula>CELL("row")=ROW()</formula>
    </cfRule>
  </conditionalFormatting>
  <conditionalFormatting sqref="C123">
    <cfRule type="expression" dxfId="7" priority="45">
      <formula>CELL("row")=ROW()</formula>
    </cfRule>
  </conditionalFormatting>
  <conditionalFormatting sqref="C208:C209">
    <cfRule type="expression" dxfId="6" priority="26">
      <formula>CELL("row")=ROW()</formula>
    </cfRule>
  </conditionalFormatting>
  <conditionalFormatting sqref="C418:C423">
    <cfRule type="expression" dxfId="5" priority="4">
      <formula>CELL("row")=ROW()</formula>
    </cfRule>
  </conditionalFormatting>
  <conditionalFormatting sqref="C239:E244 C252:E252">
    <cfRule type="expression" dxfId="4" priority="20">
      <formula>CELL("row")=ROW()</formula>
    </cfRule>
  </conditionalFormatting>
  <conditionalFormatting sqref="D422:D423">
    <cfRule type="expression" dxfId="3" priority="3">
      <formula>CELL("row")=ROW()</formula>
    </cfRule>
  </conditionalFormatting>
  <conditionalFormatting sqref="E123">
    <cfRule type="expression" dxfId="2" priority="46">
      <formula>CELL("row")=ROW()</formula>
    </cfRule>
  </conditionalFormatting>
  <conditionalFormatting sqref="E289:E295">
    <cfRule type="expression" dxfId="1" priority="10">
      <formula>CELL("row")=ROW()</formula>
    </cfRule>
  </conditionalFormatting>
  <conditionalFormatting sqref="E416">
    <cfRule type="expression" dxfId="0" priority="7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2026-05-01T12:23:26Z</dcterms:modified>
</cp:coreProperties>
</file>