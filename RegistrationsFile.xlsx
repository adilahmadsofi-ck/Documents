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8BAEE08-73C7-4C2D-AC86-64702899D1F1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8" l="1"/>
  <c r="A11" i="8"/>
  <c r="A12" i="8"/>
  <c r="A13" i="8"/>
  <c r="A14" i="8"/>
  <c r="A15" i="8"/>
  <c r="H867" i="4"/>
  <c r="H868" i="4"/>
  <c r="H869" i="4"/>
  <c r="A867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5" i="4"/>
  <c r="H866" i="4"/>
  <c r="A861" i="4"/>
  <c r="A862" i="4"/>
  <c r="A863" i="4"/>
  <c r="A864" i="4"/>
  <c r="A865" i="4"/>
  <c r="A866" i="4"/>
  <c r="A561" i="7" l="1"/>
  <c r="A562" i="7"/>
  <c r="A563" i="7"/>
  <c r="A564" i="7"/>
  <c r="H855" i="4"/>
  <c r="H856" i="4"/>
  <c r="H857" i="4"/>
  <c r="H858" i="4"/>
  <c r="H859" i="4"/>
  <c r="H860" i="4"/>
  <c r="A855" i="4"/>
  <c r="A856" i="4"/>
  <c r="A857" i="4"/>
  <c r="A858" i="4"/>
  <c r="A859" i="4"/>
  <c r="A860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2" i="4" l="1"/>
  <c r="H843" i="4"/>
  <c r="H844" i="4"/>
  <c r="H845" i="4"/>
  <c r="H846" i="4"/>
  <c r="A842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0" i="4"/>
  <c r="H831" i="4"/>
  <c r="H832" i="4"/>
  <c r="H833" i="4"/>
  <c r="H834" i="4"/>
  <c r="H835" i="4"/>
  <c r="H836" i="4"/>
  <c r="H837" i="4"/>
  <c r="H839" i="4"/>
  <c r="H840" i="4"/>
  <c r="H841" i="4"/>
  <c r="A829" i="4"/>
  <c r="A830" i="4"/>
  <c r="A831" i="4"/>
  <c r="A832" i="4"/>
  <c r="A833" i="4"/>
  <c r="A834" i="4"/>
  <c r="A835" i="4"/>
  <c r="A836" i="4"/>
  <c r="A837" i="4"/>
  <c r="A839" i="4"/>
  <c r="A840" i="4"/>
  <c r="A841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821" i="4"/>
  <c r="H822" i="4"/>
  <c r="H823" i="4"/>
  <c r="H824" i="4"/>
  <c r="A820" i="4"/>
  <c r="A821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07" i="4" l="1"/>
  <c r="H808" i="4"/>
  <c r="H809" i="4"/>
  <c r="H810" i="4"/>
  <c r="H811" i="4"/>
  <c r="H812" i="4"/>
  <c r="H814" i="4"/>
  <c r="H815" i="4"/>
  <c r="H816" i="4"/>
  <c r="H817" i="4"/>
  <c r="H818" i="4"/>
  <c r="H819" i="4"/>
  <c r="A807" i="4"/>
  <c r="A808" i="4"/>
  <c r="A809" i="4"/>
  <c r="A810" i="4"/>
  <c r="A811" i="4"/>
  <c r="A812" i="4"/>
  <c r="A814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792" i="4"/>
  <c r="H793" i="4"/>
  <c r="H794" i="4"/>
  <c r="H795" i="4"/>
  <c r="H796" i="4"/>
  <c r="H797" i="4"/>
  <c r="H800" i="4"/>
  <c r="A791" i="4"/>
  <c r="A792" i="4"/>
  <c r="A793" i="4"/>
  <c r="A794" i="4"/>
  <c r="A795" i="4"/>
  <c r="A796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42" i="4"/>
  <c r="H539" i="4"/>
  <c r="H540" i="4"/>
  <c r="H541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645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4" i="4"/>
  <c r="H735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753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735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728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698" i="4"/>
  <c r="A699" i="4"/>
  <c r="A700" i="4"/>
  <c r="A701" i="4"/>
  <c r="A702" i="4"/>
  <c r="A703" i="4"/>
  <c r="A704" i="4"/>
  <c r="A705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645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624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462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2" i="4"/>
  <c r="A481" i="4"/>
  <c r="A484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2" i="4"/>
  <c r="A540" i="4"/>
  <c r="A541" i="4"/>
  <c r="A543" i="4"/>
  <c r="A544" i="4"/>
  <c r="A545" i="4"/>
  <c r="A546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445" i="4"/>
  <c r="A443" i="4"/>
  <c r="A446" i="4"/>
  <c r="A444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418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385" i="4"/>
  <c r="A388" i="4"/>
  <c r="A387" i="4"/>
  <c r="A376" i="4"/>
  <c r="A391" i="4"/>
  <c r="A378" i="4"/>
  <c r="A377" i="4"/>
  <c r="A383" i="4"/>
  <c r="A323" i="4"/>
  <c r="A331" i="4"/>
  <c r="A328" i="4"/>
  <c r="A332" i="4"/>
  <c r="A326" i="4"/>
  <c r="A327" i="4"/>
  <c r="A322" i="4"/>
  <c r="A347" i="4"/>
  <c r="A345" i="4"/>
  <c r="A333" i="4"/>
  <c r="A346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375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320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290" i="4"/>
  <c r="A287" i="4"/>
  <c r="A291" i="4"/>
  <c r="A286" i="4"/>
  <c r="A293" i="4"/>
  <c r="A297" i="4"/>
  <c r="A299" i="4"/>
  <c r="A294" i="4"/>
  <c r="A301" i="4"/>
  <c r="A283" i="4"/>
  <c r="A277" i="4"/>
  <c r="A285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25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5" i="4"/>
  <c r="A217" i="4"/>
  <c r="A214" i="4"/>
  <c r="A216" i="4"/>
  <c r="A219" i="4"/>
  <c r="A220" i="4"/>
  <c r="A224" i="4"/>
  <c r="A221" i="4"/>
  <c r="A206" i="4"/>
  <c r="A207" i="4"/>
  <c r="A218" i="4"/>
  <c r="A215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106" i="4"/>
  <c r="A104" i="4"/>
  <c r="A108" i="4"/>
  <c r="A109" i="4"/>
  <c r="A110" i="4"/>
  <c r="A111" i="4"/>
  <c r="A112" i="4"/>
  <c r="A114" i="4"/>
  <c r="A113" i="4"/>
  <c r="A115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4" i="4"/>
  <c r="A146" i="4"/>
  <c r="A142" i="4"/>
  <c r="A145" i="4"/>
  <c r="A141" i="4"/>
  <c r="A147" i="4"/>
  <c r="A143" i="4"/>
  <c r="A140" i="4"/>
  <c r="A148" i="4"/>
  <c r="A150" i="4"/>
  <c r="A152" i="4"/>
  <c r="A151" i="4"/>
  <c r="A149" i="4"/>
  <c r="A159" i="4"/>
  <c r="A157" i="4"/>
  <c r="A154" i="4"/>
  <c r="A155" i="4"/>
  <c r="A153" i="4"/>
  <c r="A156" i="4"/>
  <c r="A161" i="4"/>
  <c r="A158" i="4"/>
  <c r="A160" i="4"/>
  <c r="A167" i="4"/>
  <c r="A168" i="4"/>
  <c r="A162" i="4"/>
  <c r="A169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5" i="4"/>
  <c r="A188" i="4"/>
  <c r="A184" i="4"/>
  <c r="A186" i="4"/>
  <c r="A187" i="4"/>
  <c r="A182" i="4"/>
  <c r="A191" i="4"/>
  <c r="A190" i="4"/>
  <c r="A192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<sst xmlns="http://schemas.openxmlformats.org/spreadsheetml/2006/main" count="28183" uniqueCount="11332">
  <si>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</si>
  <si>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</si>
  <si>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</si>
  <si>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</si>
  <si>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</si>
  <si>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</si>
  <si>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</si>
  <si>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</si>
  <si>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</si>
  <si>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</si>
  <si>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</si>
  <si>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</si>
  <si>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</si>
  <si>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</si>
  <si>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</si>
  <si>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</si>
  <si>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</si>
  <si>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</si>
  <si>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</si>
  <si>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</si>
  <si>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</si>
  <si>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</si>
  <si>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</si>
  <si>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</si>
  <si>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</si>
  <si>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</si>
  <si>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</si>
  <si>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</si>
  <si>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</si>
  <si>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</si>
  <si>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</si>
  <si>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</si>
  <si>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</si>
  <si>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</si>
  <si>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</si>
  <si>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</si>
  <si>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</si>
  <si>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</si>
  <si>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</si>
  <si>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</si>
  <si>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</si>
  <si>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</si>
  <si>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</si>
  <si>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</si>
  <si>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</si>
  <si>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</si>
  <si>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</si>
  <si>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</si>
  <si>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</si>
  <si>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</si>
  <si>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</si>
  <si>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</si>
  <si>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</si>
  <si>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</si>
  <si>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</si>
  <si>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</si>
  <si>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</si>
  <si>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</si>
  <si>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</si>
  <si>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</si>
  <si>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</si>
  <si>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</si>
  <si>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</si>
  <si>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</si>
  <si>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</si>
  <si>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</si>
  <si>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</si>
  <si>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</si>
  <si>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</si>
  <si>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</si>
  <si>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</si>
  <si>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</si>
  <si>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</si>
  <si>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</si>
  <si>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</si>
  <si>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</si>
  <si>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</si>
  <si>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</si>
  <si>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</si>
  <si>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</si>
  <si>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</si>
  <si>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</si>
  <si>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</si>
  <si>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</si>
  <si>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</si>
  <si>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</si>
  <si>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</si>
  <si>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</si>
  <si>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</si>
  <si>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</si>
  <si>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</si>
  <si>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</si>
  <si>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</si>
  <si>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</si>
  <si>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</si>
  <si>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</si>
  <si>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</si>
  <si>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</si>
  <si>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</si>
  <si>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</si>
  <si>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</si>
  <si>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</si>
  <si>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</si>
  <si>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</si>
  <si>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</si>
  <si>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</si>
  <si>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</si>
  <si>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</si>
  <si>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</si>
  <si>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</si>
  <si>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</si>
  <si>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</si>
  <si>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</si>
  <si>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</si>
  <si>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</si>
  <si>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</si>
  <si>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</si>
  <si>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</si>
  <si>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</si>
  <si>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</si>
  <si>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</si>
  <si>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</si>
  <si>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</si>
  <si>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</si>
  <si>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</si>
  <si>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</si>
  <si>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</si>
  <si>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</si>
  <si>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</si>
  <si>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</si>
  <si>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</si>
  <si>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</si>
  <si>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</si>
  <si>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</si>
  <si>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</si>
  <si>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</si>
  <si>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</si>
  <si>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</si>
  <si>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</si>
  <si>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</si>
  <si>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</si>
  <si>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</si>
  <si>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</si>
  <si>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</si>
  <si>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</si>
  <si>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</si>
  <si>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</si>
  <si>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</si>
  <si>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</si>
  <si>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</si>
  <si>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</si>
  <si>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</si>
  <si>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</si>
  <si>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</si>
  <si>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</si>
  <si>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</si>
  <si>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</si>
  <si>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</si>
  <si>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</si>
  <si>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</si>
  <si>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</si>
  <si>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</si>
  <si>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</si>
  <si>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</si>
  <si>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</si>
  <si>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</si>
  <si>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</si>
  <si>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</si>
  <si>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</si>
  <si>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</si>
  <si>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</si>
  <si>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</si>
  <si>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</si>
  <si>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</si>
  <si>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</si>
  <si>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</si>
  <si>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</si>
  <si>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</si>
  <si>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</si>
  <si>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</si>
  <si>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</si>
  <si>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</si>
  <si>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</si>
  <si>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</si>
  <si>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</si>
  <si>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</si>
  <si>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</si>
  <si>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</si>
  <si>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</si>
  <si>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</si>
  <si>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</si>
  <si>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</si>
  <si>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</si>
  <si>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</si>
  <si>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</si>
  <si>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</si>
  <si>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</si>
  <si>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</si>
  <si>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</si>
  <si>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</si>
  <si>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</si>
  <si>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</si>
  <si>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</si>
  <si>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</si>
  <si>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</si>
  <si>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</si>
  <si>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</si>
  <si>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</si>
  <si>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</si>
  <si>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</si>
  <si>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</si>
  <si>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</si>
  <si>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</si>
  <si>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</si>
  <si>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</si>
  <si>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</si>
  <si>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</si>
  <si>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</si>
  <si>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</si>
  <si>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</si>
  <si>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</si>
  <si>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</si>
  <si>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</si>
  <si>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</si>
  <si>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</si>
  <si>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</si>
  <si>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</si>
  <si>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</si>
  <si>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</si>
  <si>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</si>
  <si>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</si>
  <si>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</si>
  <si>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</si>
  <si>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</si>
  <si>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</si>
  <si>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</si>
  <si>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</si>
  <si>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</si>
  <si>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</si>
  <si>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</si>
  <si>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</si>
  <si>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</si>
  <si>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</si>
  <si>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</si>
  <si>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</si>
  <si>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</si>
  <si>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</si>
  <si>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</si>
  <si>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</si>
  <si>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</si>
  <si>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</si>
  <si>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</si>
  <si>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</si>
  <si>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</si>
  <si>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</si>
  <si>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</si>
  <si>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</si>
  <si>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</si>
  <si>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</si>
  <si>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</si>
  <si>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</si>
  <si>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</si>
  <si>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</si>
  <si>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</si>
  <si>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</si>
  <si>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</si>
  <si>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</si>
  <si>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</si>
  <si>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</si>
  <si>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</si>
  <si>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</si>
  <si>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</si>
  <si>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</si>
  <si>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</si>
  <si>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</si>
  <si>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</si>
  <si>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</si>
  <si>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</si>
  <si>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</si>
  <si>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</si>
  <si>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</si>
  <si>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</si>
  <si>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</si>
  <si>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</si>
  <si>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</si>
  <si>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</si>
  <si>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</si>
  <si>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</si>
  <si>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</si>
  <si>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</si>
  <si>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</si>
  <si>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</si>
  <si>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</si>
  <si>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</si>
  <si>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</si>
  <si>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</si>
  <si>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</si>
  <si>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</si>
  <si>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</si>
  <si>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</si>
  <si>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</si>
  <si>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</si>
  <si>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</si>
  <si>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</si>
  <si>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</si>
  <si>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</si>
  <si>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</si>
  <si>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</si>
  <si>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</si>
  <si>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</si>
  <si>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</si>
  <si>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</si>
  <si>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</si>
  <si>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</si>
  <si>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</si>
  <si>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</si>
  <si>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</si>
  <si>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</si>
  <si>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</si>
  <si>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</si>
  <si>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</si>
  <si>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</si>
  <si>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</si>
  <si>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</si>
  <si>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</si>
  <si>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</si>
  <si>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</si>
  <si>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</si>
  <si>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</si>
  <si>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</si>
  <si>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</si>
  <si>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</si>
  <si>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</si>
  <si>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</si>
  <si>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</si>
  <si>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</si>
  <si>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</si>
  <si>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</si>
  <si>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</si>
  <si>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</si>
  <si>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</si>
  <si>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</si>
  <si>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</si>
  <si>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</si>
  <si>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</si>
  <si>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</si>
  <si>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</si>
  <si>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</si>
  <si>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</si>
  <si>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</si>
  <si>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</si>
  <si>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</si>
  <si>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</si>
  <si>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</si>
  <si>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</si>
  <si>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</si>
  <si>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</si>
  <si>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</si>
  <si>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</si>
  <si>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</si>
  <si>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</si>
  <si>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</si>
  <si>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</si>
  <si>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</si>
  <si>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</si>
  <si>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</si>
  <si>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</si>
  <si>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</si>
  <si>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</si>
  <si>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</si>
  <si>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</si>
  <si>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</si>
  <si>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</si>
  <si>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</si>
  <si>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</si>
  <si>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</si>
  <si>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</si>
  <si>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</si>
  <si>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</si>
  <si>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</si>
  <si>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</si>
  <si>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</si>
  <si>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</si>
  <si>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</si>
  <si>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</si>
  <si>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</si>
  <si>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</si>
  <si>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</si>
  <si>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</si>
  <si>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</si>
  <si>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</si>
  <si>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</si>
  <si>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</si>
  <si>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</si>
  <si>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</si>
  <si>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</si>
  <si>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</si>
  <si>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</si>
  <si>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</si>
  <si>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</si>
  <si>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</si>
  <si>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</si>
  <si>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</si>
  <si>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</si>
  <si>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</si>
  <si>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</si>
  <si>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</si>
  <si>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</si>
  <si>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</si>
  <si>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</si>
  <si>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</si>
  <si>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</si>
  <si>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</si>
  <si>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</si>
  <si>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</si>
  <si>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</si>
  <si>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</si>
  <si>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</si>
  <si>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</si>
  <si>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</si>
  <si>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</si>
  <si>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</si>
  <si>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</si>
  <si>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</si>
  <si>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</si>
  <si>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</si>
  <si>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</si>
  <si>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</si>
  <si>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</si>
  <si>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</si>
  <si>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</si>
  <si>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</si>
  <si>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</si>
  <si>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</si>
  <si>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</si>
  <si>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</si>
  <si>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</si>
  <si>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</si>
  <si>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</si>
  <si>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</si>
  <si>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</si>
  <si>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</si>
  <si>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</si>
  <si>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</si>
  <si>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</si>
  <si>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</si>
  <si>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</si>
  <si>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</si>
  <si>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</si>
  <si>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</si>
  <si>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</si>
  <si>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</si>
  <si>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</si>
  <si>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</si>
  <si>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</si>
  <si>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</si>
  <si>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</si>
  <si>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</si>
  <si>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</si>
  <si>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</si>
  <si>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</si>
  <si>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</si>
  <si>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</si>
  <si>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</si>
  <si>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</si>
  <si>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</si>
  <si>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</si>
  <si>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</si>
  <si>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</si>
  <si>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</si>
  <si>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</si>
  <si>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</si>
  <si>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</si>
  <si>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</si>
  <si>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</si>
  <si>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</si>
  <si>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</si>
  <si>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</si>
  <si>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</si>
  <si>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</si>
  <si>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</si>
  <si>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</si>
  <si>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</si>
  <si>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</si>
  <si>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</si>
  <si>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</si>
  <si>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</si>
  <si>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</si>
  <si>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</si>
  <si>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</si>
  <si>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</si>
  <si>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</si>
  <si>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</si>
  <si>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</si>
  <si>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</si>
  <si>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</si>
  <si>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</si>
  <si>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</si>
  <si>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</si>
  <si>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</si>
  <si>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</si>
  <si>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</si>
  <si>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</si>
  <si>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</si>
  <si>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</si>
  <si>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</si>
  <si>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</si>
  <si>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</si>
  <si>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</si>
  <si>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</si>
  <si>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</si>
  <si>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</si>
  <si>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</si>
  <si>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</si>
  <si>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</si>
  <si>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</si>
  <si>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</si>
  <si>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</si>
  <si>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</si>
  <si>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</si>
  <si>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</si>
  <si>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</si>
  <si>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</si>
  <si>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</si>
  <si>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</si>
  <si>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</si>
  <si>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</si>
  <si>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</si>
  <si>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</si>
  <si>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</si>
  <si>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</si>
  <si>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</si>
  <si>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</si>
  <si>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</si>
  <si>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</si>
  <si>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</si>
  <si>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</si>
  <si>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</si>
  <si>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</si>
  <si>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</si>
  <si>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</si>
  <si>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</si>
  <si>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</si>
  <si>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</si>
  <si>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</si>
  <si>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</si>
  <si>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</si>
  <si>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</si>
  <si>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</si>
  <si>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</si>
  <si>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</si>
  <si>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</si>
  <si>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</si>
  <si>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</si>
  <si>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</si>
  <si>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</si>
  <si>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</si>
  <si>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</si>
  <si>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</si>
  <si>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</si>
  <si>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</si>
  <si>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</si>
  <si>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</si>
  <si>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</si>
  <si>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</si>
  <si>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</si>
  <si>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</si>
  <si>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</si>
  <si>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</si>
  <si>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</si>
  <si>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</si>
  <si>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</si>
  <si>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</si>
  <si>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</si>
  <si>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</si>
  <si>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</si>
  <si>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</si>
  <si>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</si>
  <si>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</si>
  <si>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</si>
  <si>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</si>
  <si>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</si>
  <si>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</si>
  <si>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</si>
  <si>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</si>
  <si>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</si>
  <si>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</si>
  <si>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</si>
  <si>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</si>
  <si>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</si>
  <si>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</si>
  <si>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</si>
  <si>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</si>
  <si>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</si>
  <si>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</si>
  <si>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</si>
  <si>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</si>
  <si>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</si>
  <si>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</si>
  <si>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</si>
  <si>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</si>
  <si>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</si>
  <si>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</si>
  <si>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</si>
  <si>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</si>
  <si>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</si>
  <si>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</si>
  <si>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</si>
  <si>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</si>
  <si>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</si>
  <si>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</si>
  <si>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</si>
  <si>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</si>
  <si>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</si>
  <si>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</si>
  <si>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</si>
  <si>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</si>
  <si>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</si>
  <si>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</si>
  <si>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</si>
  <si>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</si>
  <si>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</si>
  <si>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</si>
  <si>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</si>
  <si>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</si>
  <si>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</si>
  <si>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</si>
  <si>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</si>
  <si>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</si>
  <si>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</si>
  <si>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</si>
  <si>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</si>
  <si>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</si>
  <si>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</si>
  <si>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</si>
  <si>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</si>
  <si>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</si>
  <si>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</si>
  <si>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</si>
  <si>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</si>
  <si>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</si>
  <si>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</si>
  <si>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</si>
  <si>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</si>
  <si>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</si>
  <si>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</si>
  <si>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</si>
  <si>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</si>
  <si>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</si>
  <si>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</si>
  <si>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</si>
  <si>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</si>
  <si>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</si>
  <si>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</si>
  <si>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</si>
  <si>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</si>
  <si>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</si>
  <si>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</si>
  <si>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</si>
  <si>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</si>
  <si>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</si>
  <si>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</si>
  <si>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</si>
  <si>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</si>
  <si>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</si>
  <si>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</si>
  <si>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</si>
  <si>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</si>
  <si>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</si>
  <si>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</si>
  <si>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</si>
  <si>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</si>
  <si>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</si>
  <si>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</si>
  <si>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</si>
  <si>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</si>
  <si>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</si>
  <si>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</si>
  <si>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</si>
  <si>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</si>
  <si>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</si>
  <si>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</si>
  <si>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</si>
  <si>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</si>
  <si>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</si>
  <si>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</si>
  <si>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</si>
  <si>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</si>
  <si>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</si>
  <si>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</si>
  <si>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</si>
  <si>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</si>
  <si>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</si>
  <si>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</si>
  <si>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</si>
  <si>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</si>
  <si>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</si>
  <si>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</si>
  <si>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</si>
  <si>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</si>
  <si>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</si>
  <si>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</si>
  <si>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</si>
  <si>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</si>
  <si>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</si>
  <si>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</si>
  <si>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</si>
  <si>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</si>
  <si>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</si>
  <si>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</si>
  <si>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</si>
  <si>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</si>
  <si>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</si>
  <si>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</si>
  <si>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</si>
  <si>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</si>
  <si>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</si>
  <si>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</si>
  <si>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</si>
  <si>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</si>
  <si>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</si>
  <si>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</si>
  <si>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</si>
  <si>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</si>
  <si>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</si>
  <si>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</si>
  <si>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</si>
  <si>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</si>
  <si>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</si>
  <si>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</si>
  <si>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</si>
  <si>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</si>
  <si>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</si>
  <si>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</si>
  <si>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</si>
  <si>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</si>
  <si>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</si>
  <si>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</si>
  <si>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</si>
  <si>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</si>
  <si>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</si>
  <si>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</si>
  <si>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</si>
  <si>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</si>
  <si>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</si>
  <si>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</si>
  <si>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</si>
  <si>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</si>
  <si>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</si>
  <si>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</si>
  <si>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</si>
  <si>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</si>
  <si>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</si>
  <si>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</si>
  <si>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</si>
  <si>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</si>
  <si>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</si>
  <si>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</si>
  <si>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</si>
  <si>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</si>
  <si>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</si>
  <si>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</si>
  <si>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</si>
  <si>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</si>
  <si>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</si>
  <si>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</si>
  <si>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</si>
  <si>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</si>
  <si>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</si>
  <si>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</si>
  <si>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</si>
  <si>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</si>
  <si>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</si>
  <si>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</si>
  <si>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</si>
  <si>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</si>
  <si>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</si>
  <si>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</si>
  <si>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</si>
  <si>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</si>
  <si>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</si>
  <si>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</si>
  <si>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</si>
  <si>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</si>
  <si>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</si>
  <si>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</si>
  <si>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</si>
  <si>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</si>
  <si>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</si>
  <si>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</si>
  <si>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</si>
  <si>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</si>
  <si>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</si>
  <si>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</si>
  <si>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</si>
  <si>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</si>
  <si>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</si>
  <si>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</si>
  <si>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</si>
  <si>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</si>
  <si>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</si>
  <si>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</si>
  <si>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</si>
  <si>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</si>
  <si>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</si>
  <si>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</si>
  <si>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</si>
  <si>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</si>
  <si>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</si>
  <si>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</si>
  <si>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</si>
  <si>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</si>
  <si>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</si>
  <si>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</si>
  <si>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</si>
  <si>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</si>
  <si>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</si>
  <si>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</si>
  <si>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</si>
  <si>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</si>
  <si>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</si>
  <si>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</si>
  <si>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</si>
  <si>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</si>
  <si>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</si>
  <si>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</si>
  <si>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</si>
  <si>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</si>
  <si>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</si>
  <si>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</si>
  <si>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</si>
  <si>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</si>
  <si>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</si>
  <si>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</si>
  <si>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</si>
  <si>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</si>
  <si>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</si>
  <si>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</si>
  <si>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</si>
  <si>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</si>
  <si>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</si>
  <si>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</si>
  <si>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</si>
  <si>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</si>
  <si>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</si>
  <si>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</si>
  <si>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</si>
  <si>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</si>
  <si>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</si>
  <si>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</si>
  <si>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</si>
  <si>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</si>
  <si>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</si>
  <si>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</si>
  <si>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</si>
  <si>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</si>
  <si>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</si>
  <si>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</si>
  <si>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</si>
  <si>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</si>
  <si>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</si>
  <si>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</si>
  <si>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</si>
  <si>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</si>
  <si>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</si>
  <si>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</si>
  <si>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</si>
  <si>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</si>
  <si>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</si>
  <si>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</si>
  <si>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</si>
  <si>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</si>
  <si>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</si>
  <si>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</si>
  <si>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</si>
  <si>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</si>
  <si>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</si>
  <si>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</si>
  <si>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</si>
  <si>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</si>
  <si>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</si>
  <si>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</si>
  <si>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</si>
  <si>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</si>
  <si>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</si>
  <si>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</si>
  <si>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</si>
  <si>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</si>
  <si>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</si>
  <si>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</si>
  <si>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</si>
  <si>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</si>
  <si>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</si>
  <si>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</si>
  <si>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</si>
  <si>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</si>
  <si>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</si>
  <si>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</si>
  <si>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</si>
  <si>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</si>
  <si>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</si>
  <si>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</si>
  <si>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</si>
  <si>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</si>
  <si>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</si>
  <si>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</si>
  <si>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</si>
  <si>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</si>
  <si>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</si>
  <si>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</si>
  <si>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</si>
  <si>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</si>
  <si>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</si>
  <si>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</si>
  <si>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</si>
  <si>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</si>
  <si>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</si>
  <si>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</si>
  <si>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</si>
  <si>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</si>
  <si>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</si>
  <si>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</si>
  <si>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</si>
  <si>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</si>
  <si>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</si>
  <si>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</si>
  <si>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</si>
  <si>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</si>
  <si>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</si>
  <si>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</si>
  <si>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</si>
  <si>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</si>
  <si>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</si>
  <si>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</si>
  <si>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</si>
  <si>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</si>
  <si>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</si>
  <si>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</si>
  <si>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</si>
  <si>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</si>
  <si>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</si>
  <si>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</si>
  <si>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</si>
  <si>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</si>
  <si>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</si>
  <si>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</si>
  <si>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</si>
  <si>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</si>
  <si>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</si>
  <si>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</si>
  <si>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</si>
  <si>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</si>
  <si>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</si>
  <si>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</si>
  <si>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</si>
  <si>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</si>
  <si>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</si>
  <si>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</si>
  <si>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</si>
  <si>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</si>
  <si>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</si>
  <si>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</si>
  <si>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</si>
  <si>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</si>
  <si>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</si>
  <si>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</si>
  <si>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</si>
  <si>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</si>
  <si>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</si>
  <si>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</si>
  <si>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</si>
  <si>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</si>
  <si>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</si>
  <si>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</si>
  <si>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</si>
  <si>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</si>
  <si>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</si>
  <si>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</si>
  <si>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</si>
  <si>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</si>
  <si>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</si>
  <si>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</si>
  <si>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</si>
  <si>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</si>
  <si>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</si>
  <si>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</si>
  <si>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</si>
  <si>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</si>
  <si>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</si>
  <si>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</si>
  <si>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</si>
  <si>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</si>
  <si>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</si>
  <si>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</si>
  <si>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</si>
  <si>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</si>
  <si>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</si>
  <si>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</si>
  <si>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</si>
  <si>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</si>
  <si>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</si>
  <si>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</si>
  <si>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</si>
  <si>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</si>
  <si>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</si>
  <si>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</si>
  <si>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</si>
  <si>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</si>
  <si>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</si>
  <si>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</si>
  <si>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</si>
  <si>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</si>
  <si>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</si>
  <si>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</si>
  <si>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</si>
  <si>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</si>
  <si>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</si>
  <si>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</si>
  <si>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</si>
  <si>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</si>
  <si>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</si>
  <si>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</si>
  <si>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</si>
  <si>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</si>
  <si>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</si>
  <si>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</si>
  <si>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</si>
  <si>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</si>
  <si>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</si>
  <si>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</si>
  <si>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</si>
  <si>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</si>
  <si>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</si>
  <si>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</si>
  <si>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</si>
  <si>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</si>
  <si>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</si>
  <si>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</si>
  <si>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</si>
  <si>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</si>
  <si>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</si>
  <si>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</si>
  <si>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</si>
  <si>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</si>
  <si>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</si>
  <si>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</si>
  <si>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</si>
  <si>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</si>
  <si>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</si>
  <si>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</si>
  <si>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</si>
  <si>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</si>
  <si>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</si>
  <si>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</si>
  <si>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</si>
  <si>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</si>
  <si>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</si>
  <si>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</si>
  <si>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</si>
  <si>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</si>
  <si>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</si>
  <si>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</si>
  <si>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</si>
  <si>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</si>
  <si>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</si>
  <si>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</si>
  <si>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</si>
  <si>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</si>
  <si>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</si>
  <si>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</si>
  <si>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</si>
  <si>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</si>
  <si>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</si>
  <si>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</si>
  <si>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</si>
  <si>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</si>
  <si>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</si>
  <si>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</si>
  <si>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</si>
  <si>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</si>
  <si>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</si>
  <si>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</si>
  <si>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</si>
  <si>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</si>
  <si>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</si>
  <si>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</si>
  <si>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</si>
  <si>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</si>
  <si>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</si>
  <si>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</si>
  <si>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</si>
  <si>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</si>
  <si>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</si>
  <si>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</si>
  <si>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</si>
  <si>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</si>
  <si>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</si>
  <si>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</si>
  <si>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</si>
  <si>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</si>
  <si>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</si>
  <si>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</si>
  <si>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</si>
  <si>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</si>
  <si>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</si>
  <si>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</si>
  <si>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</si>
  <si>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</si>
  <si>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</si>
  <si>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</si>
  <si>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</si>
  <si>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</si>
  <si>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</si>
  <si>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</si>
  <si>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</si>
  <si>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</si>
  <si>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</si>
  <si>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</si>
  <si>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</si>
  <si>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</si>
  <si>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</si>
  <si>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</si>
  <si>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</si>
  <si>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</si>
  <si>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</si>
  <si>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</si>
  <si>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</si>
  <si>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</si>
  <si>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</si>
  <si>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</si>
  <si>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</si>
  <si>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</si>
  <si>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</si>
  <si>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</si>
  <si>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</si>
  <si>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</si>
  <si>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</si>
  <si>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</si>
  <si>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</si>
  <si>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</si>
  <si>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</si>
  <si>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</si>
  <si>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</si>
  <si>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</si>
  <si>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</si>
  <si>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</si>
  <si>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</si>
  <si>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</si>
  <si>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</si>
  <si>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</si>
  <si>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</si>
  <si>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</si>
  <si>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</si>
  <si>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</si>
  <si>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</si>
  <si>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</si>
  <si>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</si>
  <si>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</si>
  <si>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</si>
  <si>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</si>
  <si>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</si>
  <si>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</si>
  <si>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</si>
  <si>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</si>
  <si>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</si>
  <si>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</si>
  <si>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</si>
  <si>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</si>
  <si>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</si>
  <si>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</si>
  <si>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</si>
  <si>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</si>
  <si>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</si>
  <si>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</si>
  <si>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</si>
  <si>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</si>
  <si>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</si>
  <si>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</si>
  <si>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</si>
  <si>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</si>
  <si>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</si>
  <si>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</si>
  <si>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</si>
  <si>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</si>
  <si>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</si>
  <si>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</si>
  <si>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</si>
  <si>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</si>
  <si>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</si>
  <si>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</si>
  <si>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</si>
  <si>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</si>
  <si>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</si>
  <si>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</si>
  <si>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</si>
  <si>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</si>
  <si>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</si>
  <si>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</si>
  <si>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</si>
  <si>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</si>
  <si>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</si>
  <si>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</si>
  <si>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</si>
  <si>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</si>
  <si>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</si>
  <si>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</si>
  <si>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</si>
  <si>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</si>
  <si>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</si>
  <si>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</si>
  <si>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</si>
  <si>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</si>
  <si>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</si>
  <si>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</si>
  <si>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</si>
  <si>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</si>
  <si>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</si>
  <si>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</si>
  <si>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</si>
  <si>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</si>
  <si>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</si>
  <si>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</si>
  <si>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</si>
  <si>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</si>
  <si>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</si>
  <si>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</si>
  <si>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</si>
  <si>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</si>
  <si>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</si>
  <si>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</si>
  <si>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</si>
  <si>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</si>
  <si>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</si>
  <si>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</si>
  <si>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</si>
  <si>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</si>
  <si>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</si>
  <si>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</si>
  <si>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</si>
  <si>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</si>
  <si>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</si>
  <si>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</si>
  <si>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</si>
  <si>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</si>
  <si>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</si>
  <si>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</si>
  <si>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</si>
  <si>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</si>
  <si>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</si>
  <si>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</si>
  <si>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</si>
  <si>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</si>
  <si>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</si>
  <si>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</si>
  <si>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</si>
  <si>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</si>
  <si>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</si>
  <si>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</si>
  <si>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</si>
  <si>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</si>
  <si>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</si>
  <si>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</si>
  <si>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</si>
  <si>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</si>
  <si>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</si>
  <si>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</si>
  <si>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</si>
  <si>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</si>
  <si>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</si>
  <si>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</si>
  <si>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</si>
  <si>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</si>
  <si>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</si>
  <si>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</si>
  <si>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</si>
  <si>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</si>
  <si>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</si>
  <si>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</si>
  <si>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</si>
  <si>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</si>
  <si>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</si>
  <si>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</si>
  <si>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</si>
  <si>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</si>
  <si>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</si>
  <si>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</si>
  <si>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</si>
  <si>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</si>
  <si>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</si>
  <si>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</si>
  <si>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</si>
  <si>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</si>
  <si>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</si>
  <si>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</si>
  <si>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</si>
  <si>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</si>
  <si>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</si>
  <si>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</si>
  <si>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</si>
  <si>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</si>
  <si>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</si>
  <si>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</si>
  <si>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</si>
  <si>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</si>
  <si>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</si>
  <si>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</si>
  <si>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</si>
  <si>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</si>
  <si>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</si>
  <si>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</si>
  <si>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</si>
  <si>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</si>
  <si>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</si>
  <si>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</si>
  <si>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</si>
  <si>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</si>
  <si>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</si>
  <si>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</si>
  <si>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</si>
  <si>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</si>
  <si>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</si>
  <si>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</si>
  <si>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</si>
  <si>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</si>
  <si>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</si>
  <si>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</si>
  <si>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</si>
  <si>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</si>
  <si>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</si>
  <si>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</si>
  <si>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</si>
  <si>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</si>
  <si>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</si>
  <si>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</si>
  <si>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</si>
  <si>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</si>
  <si>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</si>
  <si>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</si>
  <si>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</si>
  <si>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</si>
  <si>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</si>
  <si>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</si>
  <si>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</si>
  <si>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</si>
  <si>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</si>
  <si>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</si>
  <si>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</si>
  <si>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</si>
  <si>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</si>
  <si>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</si>
  <si>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</si>
  <si>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</si>
  <si>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</si>
  <si>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</si>
  <si>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</si>
  <si>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</si>
  <si>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</si>
  <si>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</si>
  <si>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</si>
  <si>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</si>
  <si>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</si>
  <si>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</si>
  <si>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</si>
  <si>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</si>
  <si>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</si>
  <si>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</si>
  <si>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</si>
  <si>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</si>
  <si>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</si>
  <si>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</si>
  <si>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</si>
  <si>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</si>
  <si>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</si>
  <si>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</si>
  <si>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</si>
  <si>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</si>
  <si>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</si>
  <si>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</si>
  <si>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</si>
  <si>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</si>
  <si>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</si>
  <si>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</si>
  <si>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</si>
  <si>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</si>
  <si>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</si>
  <si>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</si>
  <si>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</si>
  <si>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</si>
  <si>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</si>
  <si>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</si>
  <si>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</si>
  <si>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</si>
  <si>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</si>
  <si>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</si>
  <si>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</si>
  <si>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</si>
  <si>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</si>
  <si>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</si>
  <si>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</si>
  <si>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</si>
  <si>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</si>
  <si>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</si>
  <si>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</si>
  <si>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</si>
  <si>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</si>
  <si>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</si>
  <si>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</si>
  <si>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</si>
  <si>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</si>
  <si>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</si>
  <si>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</si>
  <si>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</si>
  <si>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</si>
  <si>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</si>
  <si>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</si>
  <si>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</si>
  <si>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</si>
  <si>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</si>
  <si>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</si>
  <si>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</si>
  <si>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</si>
  <si>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</si>
  <si>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</si>
  <si>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</si>
  <si>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</si>
  <si>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</si>
  <si>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</si>
  <si>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</si>
  <si>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</si>
  <si>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</si>
  <si>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</si>
  <si>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</si>
  <si>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</si>
  <si>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</si>
  <si>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</si>
  <si>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</si>
  <si>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</si>
  <si>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</si>
  <si>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</si>
  <si>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</si>
  <si>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</si>
  <si>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</si>
  <si>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</si>
  <si>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</si>
  <si>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</si>
  <si>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</si>
  <si>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</si>
  <si>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</si>
  <si>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</si>
  <si>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</si>
  <si>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</si>
  <si>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</si>
  <si>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</si>
  <si>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</si>
  <si>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</si>
  <si>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</si>
  <si>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</si>
  <si>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</si>
  <si>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</si>
  <si>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</si>
  <si>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</si>
  <si>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</si>
  <si>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</si>
  <si>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</si>
  <si>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</si>
  <si>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</si>
  <si>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</si>
  <si>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</si>
  <si>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</si>
  <si>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</si>
  <si>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</si>
  <si>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</si>
  <si>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</si>
  <si>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</si>
  <si>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</si>
  <si>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</si>
  <si>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</si>
  <si>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</si>
  <si>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</si>
  <si>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</si>
  <si>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</si>
  <si>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</si>
  <si>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</si>
  <si>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</si>
  <si>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</si>
  <si>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</si>
  <si>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</si>
  <si>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</si>
  <si>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</si>
  <si>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</si>
  <si>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</si>
  <si>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</si>
  <si>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</si>
  <si>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</si>
  <si>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</si>
  <si>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</si>
  <si>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</si>
  <si>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</si>
  <si>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</si>
  <si>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</si>
  <si>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</si>
  <si>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</si>
  <si>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</si>
  <si>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</si>
  <si>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</si>
  <si>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</si>
  <si>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</si>
  <si>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</si>
  <si>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</si>
  <si>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</si>
  <si>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</si>
  <si>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</si>
  <si>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</si>
  <si>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</si>
  <si>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</si>
  <si>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</si>
  <si>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</si>
  <si>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</si>
  <si>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</si>
  <si>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</si>
  <si>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</si>
  <si>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</si>
  <si>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</si>
  <si>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</si>
  <si>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</si>
  <si>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</si>
  <si>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</si>
  <si>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</si>
  <si>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</si>
  <si>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</si>
  <si>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</si>
  <si>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</si>
  <si>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</si>
  <si>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</si>
  <si>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</si>
  <si>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</si>
  <si>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</si>
  <si>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</si>
  <si>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</si>
  <si>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</si>
  <si>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</si>
  <si>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</si>
  <si>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</si>
  <si>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</si>
  <si>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</si>
  <si>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</si>
  <si>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</si>
  <si>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</si>
  <si>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</si>
  <si>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</si>
  <si>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</si>
  <si>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</si>
  <si>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</si>
  <si>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</si>
  <si>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</si>
  <si>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</si>
  <si>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</si>
  <si>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</si>
  <si>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</si>
  <si>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</si>
  <si>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</si>
  <si>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</si>
  <si>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</si>
  <si>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</si>
  <si>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</si>
  <si>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</si>
  <si>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</si>
  <si>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</si>
  <si>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</si>
  <si>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</si>
  <si>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</si>
  <si>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</si>
  <si>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</si>
  <si>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</si>
  <si>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</si>
  <si>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</si>
  <si>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</si>
  <si>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</si>
  <si>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</si>
  <si>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</si>
  <si>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</si>
  <si>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</si>
  <si>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</si>
  <si>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</si>
  <si>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</si>
  <si>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</si>
  <si>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</si>
  <si>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</si>
  <si>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</si>
  <si>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</si>
  <si>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</si>
  <si>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</si>
  <si>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</si>
  <si>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</si>
  <si>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</si>
  <si>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</si>
  <si>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</si>
  <si>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</si>
  <si>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</si>
  <si>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</si>
  <si>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</si>
  <si>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</si>
  <si>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</si>
  <si>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</si>
  <si>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</si>
  <si>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</si>
  <si>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</si>
  <si>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</si>
  <si>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</si>
  <si>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</si>
  <si>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</si>
  <si>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</si>
  <si>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</si>
  <si>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</si>
  <si>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</si>
  <si>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</si>
  <si>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</si>
  <si>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</si>
  <si>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</si>
  <si>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</si>
  <si>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</si>
  <si>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</si>
  <si>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</si>
  <si>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</si>
  <si>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</si>
  <si>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</si>
  <si>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</si>
  <si>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</si>
  <si>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</si>
  <si>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</si>
  <si>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</si>
  <si>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</si>
  <si>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</si>
  <si>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</si>
  <si>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</si>
  <si>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</si>
  <si>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</si>
  <si>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</si>
  <si>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</si>
  <si>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</si>
  <si>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</si>
  <si>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</si>
  <si>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</si>
  <si>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</si>
  <si>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</si>
  <si>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</si>
  <si>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</si>
  <si>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</si>
  <si>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</si>
  <si>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</si>
  <si>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</si>
  <si>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</si>
  <si>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</si>
  <si>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</si>
  <si>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</si>
  <si>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</si>
  <si>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</si>
  <si>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</si>
  <si>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</si>
  <si>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</si>
  <si>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</si>
  <si>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</si>
  <si>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</si>
  <si>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</si>
  <si>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</si>
  <si>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</si>
  <si>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</si>
  <si>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</si>
  <si>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</si>
  <si>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</si>
  <si>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</si>
  <si>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</si>
  <si>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</si>
  <si>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</si>
  <si>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</si>
  <si>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</si>
  <si>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</si>
  <si>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</si>
  <si>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</si>
  <si>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</si>
  <si>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</si>
  <si>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</si>
  <si>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</si>
  <si>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</si>
  <si>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</si>
  <si>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</si>
  <si>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</si>
  <si>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</si>
  <si>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</si>
  <si>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</si>
  <si>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</si>
  <si>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</si>
  <si>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</si>
  <si>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</si>
  <si>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</si>
  <si>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</si>
  <si>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</si>
  <si>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</si>
  <si>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</si>
  <si>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</si>
  <si>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</si>
  <si>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</si>
  <si>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</si>
  <si>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</si>
  <si>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</si>
  <si>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</si>
  <si>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</si>
  <si>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</si>
  <si>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</si>
  <si>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</si>
  <si>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</si>
  <si>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</si>
  <si>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</si>
  <si>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</si>
  <si>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</si>
  <si>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</si>
  <si>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</si>
  <si>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</si>
  <si>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</si>
  <si>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</si>
  <si>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</si>
  <si>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</si>
  <si>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</si>
  <si>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</si>
  <si>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</si>
  <si>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</si>
  <si>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</si>
  <si>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</si>
  <si>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</si>
  <si>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</si>
  <si>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</si>
  <si>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</si>
  <si>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</si>
  <si>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</si>
  <si>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</si>
  <si>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</si>
  <si>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</si>
  <si>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</si>
  <si>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</si>
  <si>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</si>
  <si>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</si>
  <si>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</si>
  <si>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</si>
  <si>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</si>
  <si>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</si>
  <si>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</si>
  <si>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</si>
  <si>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</si>
  <si>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</si>
  <si>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</si>
  <si>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</si>
  <si>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</si>
  <si>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</si>
  <si>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</si>
  <si>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</si>
  <si>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</si>
  <si>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</si>
  <si>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</si>
  <si>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</si>
  <si>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</si>
  <si>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</si>
  <si>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</si>
  <si>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</si>
  <si>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</si>
  <si>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</si>
  <si>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</si>
  <si>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</si>
  <si>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</si>
  <si>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</si>
  <si>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</si>
  <si>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</si>
  <si>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</si>
  <si>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</si>
  <si>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</si>
  <si>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</si>
  <si>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</si>
  <si>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</si>
  <si>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</si>
  <si>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</si>
  <si>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</si>
  <si>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</si>
  <si>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</si>
  <si>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</si>
  <si>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</si>
  <si>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</si>
  <si>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</si>
  <si>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</si>
  <si>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</si>
  <si>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</si>
  <si>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</si>
  <si>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</si>
  <si>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</si>
  <si>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</si>
  <si>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</si>
  <si>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</si>
  <si>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</si>
  <si>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</si>
  <si>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</si>
  <si>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</si>
  <si>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</si>
  <si>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</si>
  <si>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</si>
  <si>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</si>
  <si>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</si>
  <si>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</si>
  <si>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</si>
  <si>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</si>
  <si>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</si>
  <si>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</si>
  <si>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</si>
  <si>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</si>
  <si>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</si>
  <si>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</si>
  <si>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</si>
  <si>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</si>
  <si>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</si>
  <si>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</si>
  <si>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</si>
  <si>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</si>
  <si>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</si>
  <si>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</si>
  <si>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</si>
  <si>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</si>
  <si>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</si>
  <si>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</si>
  <si>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</si>
  <si>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</si>
  <si>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</si>
  <si>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</si>
  <si>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</si>
  <si>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</si>
  <si>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</si>
  <si>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</si>
  <si>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</si>
  <si>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</si>
  <si>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</si>
  <si>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</si>
  <si>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</si>
  <si>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</si>
  <si>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</si>
  <si>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</si>
  <si>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</si>
  <si>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</si>
  <si>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</si>
  <si>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</si>
  <si>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</si>
  <si>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</si>
  <si>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</si>
  <si>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</si>
  <si>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</si>
  <si>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</si>
  <si>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</si>
  <si>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</si>
  <si>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</si>
  <si>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</si>
  <si>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</si>
  <si>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</si>
  <si>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</si>
  <si>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</si>
  <si>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</si>
  <si>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</si>
  <si>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</si>
  <si>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</si>
  <si>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</si>
  <si>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</si>
  <si>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</si>
  <si>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</si>
  <si>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</si>
  <si>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</si>
  <si>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</si>
  <si>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</si>
  <si>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</si>
  <si>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</si>
  <si>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</si>
  <si>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</si>
  <si>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</si>
  <si>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</si>
  <si>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</si>
  <si>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</si>
  <si>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</si>
  <si>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</si>
  <si>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</si>
  <si>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</si>
  <si>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</si>
  <si>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</si>
  <si>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</si>
  <si>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</si>
  <si>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</si>
  <si>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</si>
  <si>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</si>
  <si>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</si>
  <si>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</si>
  <si>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</si>
  <si>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</si>
  <si>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</si>
  <si>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</si>
  <si>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</si>
  <si>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</si>
  <si>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</si>
  <si>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</si>
  <si>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</si>
  <si>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</si>
  <si>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</si>
  <si>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</si>
  <si>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</si>
  <si>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</si>
  <si>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</si>
  <si>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</si>
  <si>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</si>
  <si>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</si>
  <si>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</si>
  <si>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</si>
  <si>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</si>
  <si>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</si>
  <si>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</si>
  <si>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</si>
  <si>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</si>
  <si>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</si>
  <si>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</si>
  <si>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</si>
  <si>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</si>
  <si>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</si>
  <si>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</si>
  <si>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</si>
  <si>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</si>
  <si>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</si>
  <si>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</si>
  <si>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</si>
  <si>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</si>
  <si>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</si>
  <si>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</si>
  <si>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</si>
  <si>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</si>
  <si>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</si>
  <si>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</si>
  <si>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</si>
  <si>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</si>
  <si>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</si>
  <si>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</si>
  <si>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</si>
  <si>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</si>
  <si>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</si>
  <si>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</si>
  <si>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</si>
  <si>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</si>
  <si>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</si>
  <si>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</si>
  <si>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</si>
  <si>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</si>
  <si>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</si>
  <si>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</si>
  <si>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</si>
  <si>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</si>
  <si>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</si>
  <si>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</si>
  <si>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</si>
  <si>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</si>
  <si>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</si>
  <si>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</si>
  <si>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</si>
  <si>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</si>
  <si>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</si>
  <si>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</si>
  <si>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</si>
  <si>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</si>
  <si>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</si>
  <si>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</si>
  <si>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</si>
  <si>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</si>
  <si>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</si>
  <si>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</si>
  <si>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</si>
  <si>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</si>
  <si>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</si>
  <si>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</si>
  <si>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</si>
  <si>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</si>
  <si>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</si>
  <si>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</si>
  <si>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</si>
  <si>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</si>
  <si>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</si>
  <si>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</si>
  <si>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</si>
  <si>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</si>
  <si>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</si>
  <si>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</si>
  <si>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</si>
  <si>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</si>
  <si>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</si>
  <si>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</si>
  <si>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</si>
  <si>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</si>
  <si>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</si>
  <si>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</si>
  <si>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</si>
  <si>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</si>
  <si>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</si>
  <si>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</si>
  <si>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</si>
  <si>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</si>
  <si>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</si>
  <si>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</si>
  <si>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</si>
  <si>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</si>
  <si>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</si>
  <si>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</si>
  <si>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</si>
  <si>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</si>
  <si>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</si>
  <si>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</si>
  <si>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</si>
  <si>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</si>
  <si>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</si>
  <si>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</si>
  <si>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</si>
  <si>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</si>
  <si>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</si>
  <si>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</si>
  <si>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</si>
  <si>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</si>
  <si>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</si>
  <si>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</si>
  <si>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</si>
  <si>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</si>
  <si>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</si>
  <si>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</si>
  <si>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</si>
  <si>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</si>
  <si>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</si>
  <si>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</si>
  <si>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</si>
  <si>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</si>
  <si>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</si>
  <si>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</si>
  <si>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</si>
  <si>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</si>
  <si>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</si>
  <si>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</si>
  <si>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</si>
  <si>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</si>
  <si>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</si>
  <si>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</si>
  <si>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</si>
  <si>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</si>
  <si>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</si>
  <si>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</si>
  <si>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</si>
  <si>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</si>
  <si>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</si>
  <si>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</si>
  <si>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</si>
  <si>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</si>
  <si>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</si>
  <si>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</si>
  <si>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</si>
  <si>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</si>
  <si>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</si>
  <si>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</si>
  <si>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</si>
  <si>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</si>
  <si>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</si>
  <si>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</si>
  <si>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</si>
  <si>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</si>
  <si>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</si>
  <si>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</si>
  <si>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</si>
  <si>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</si>
  <si>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</si>
  <si>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</si>
  <si>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</si>
  <si>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</si>
  <si>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</si>
  <si>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</si>
  <si>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</si>
  <si>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</si>
  <si>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</si>
  <si>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</si>
  <si>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</si>
  <si>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</si>
  <si>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</si>
  <si>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</si>
  <si>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</si>
  <si>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</si>
  <si>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</si>
  <si>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</si>
  <si>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</si>
  <si>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</si>
  <si>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</si>
  <si>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</si>
  <si>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</si>
  <si>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</si>
  <si>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</si>
  <si>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</si>
  <si>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</si>
  <si>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</si>
  <si>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</si>
  <si>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</si>
  <si>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</si>
  <si>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</si>
  <si>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</si>
  <si>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</si>
  <si>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</si>
  <si>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</si>
  <si>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</si>
  <si>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</si>
  <si>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</si>
  <si>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</si>
  <si>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</si>
  <si>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</si>
  <si>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</si>
  <si>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</si>
  <si>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</si>
  <si>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</si>
  <si>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</si>
  <si>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</si>
  <si>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</si>
  <si>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</si>
  <si>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</si>
  <si>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</si>
  <si>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</si>
  <si>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</si>
  <si>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</si>
  <si>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</si>
  <si>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</si>
  <si>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</si>
  <si>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</si>
  <si>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</si>
  <si>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</si>
  <si>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</si>
  <si>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</si>
  <si>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</si>
  <si>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</si>
  <si>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</si>
  <si>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</si>
  <si>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</si>
  <si>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</si>
  <si>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</si>
  <si>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</si>
  <si>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</si>
  <si>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</si>
  <si>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</si>
  <si>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</si>
  <si>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</si>
  <si>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</si>
  <si>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</si>
  <si>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</si>
  <si>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</si>
  <si>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</si>
  <si>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</si>
  <si>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</si>
  <si>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</si>
  <si>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</si>
  <si>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</si>
  <si>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</si>
  <si>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</si>
  <si>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</si>
  <si>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</si>
  <si>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</si>
  <si>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</si>
  <si>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</si>
  <si>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</si>
  <si>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</si>
  <si>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</si>
  <si>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</si>
  <si>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</si>
  <si>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</si>
  <si>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</si>
  <si>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</si>
  <si>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</si>
  <si>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</si>
  <si>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</si>
  <si>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</si>
  <si>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</si>
  <si>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</si>
  <si>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</si>
  <si>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</si>
  <si>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</si>
  <si>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</si>
  <si>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</si>
  <si>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</si>
  <si>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</si>
  <si>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</si>
  <si>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</si>
  <si>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</si>
  <si>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</si>
  <si>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</si>
  <si>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</si>
  <si>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</si>
  <si>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</si>
  <si>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</si>
  <si>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</si>
  <si>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</si>
  <si>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</si>
  <si>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</si>
  <si>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</si>
  <si>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</si>
  <si>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</si>
  <si>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</si>
  <si>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</si>
  <si>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</si>
  <si>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</si>
  <si>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</si>
  <si>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</si>
  <si>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</si>
  <si>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</si>
  <si>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</si>
  <si>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</si>
  <si>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</si>
  <si>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</si>
  <si>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</si>
  <si>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</si>
  <si>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</si>
  <si>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</si>
  <si>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</si>
  <si>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</si>
  <si>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</si>
  <si>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</si>
  <si>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</si>
  <si>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</si>
  <si>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</si>
  <si>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</si>
  <si>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</si>
  <si>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</si>
  <si>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</si>
  <si>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</si>
  <si>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</si>
  <si>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</si>
  <si>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</si>
  <si>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</si>
  <si>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</si>
  <si>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</si>
  <si>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</si>
  <si>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</si>
  <si>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</si>
  <si>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</si>
  <si>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</si>
  <si>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</si>
  <si>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</si>
  <si>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</si>
  <si>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</si>
  <si>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</si>
  <si>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</si>
  <si>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</si>
  <si>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</si>
  <si>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</si>
  <si>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</si>
  <si>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</si>
  <si>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</si>
  <si>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</si>
  <si>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</si>
  <si>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</si>
  <si>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</si>
  <si>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</si>
  <si>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</si>
  <si>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</si>
  <si>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</si>
  <si>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</si>
  <si>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</si>
  <si>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</si>
  <si>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</si>
  <si>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</si>
  <si>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</si>
  <si>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</si>
  <si>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</si>
  <si>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</si>
  <si>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</si>
  <si>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</si>
  <si>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</si>
  <si>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</si>
  <si>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</si>
  <si>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</si>
  <si>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</si>
  <si>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</si>
  <si>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</si>
  <si>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</si>
  <si>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</si>
  <si>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</si>
  <si>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</si>
  <si>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</si>
  <si>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</si>
  <si>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</si>
  <si>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</si>
  <si>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</si>
  <si>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</si>
  <si>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</si>
  <si>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</si>
  <si>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</si>
  <si>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</si>
  <si>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</si>
  <si>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</si>
  <si>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</si>
  <si>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</si>
  <si>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</si>
  <si>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</si>
  <si>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</si>
  <si>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</si>
  <si>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</si>
  <si>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</si>
  <si>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</si>
  <si>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</si>
  <si>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</si>
  <si>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</si>
  <si>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</si>
  <si>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</si>
  <si>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</si>
  <si>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</si>
  <si>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</si>
  <si>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</si>
  <si>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</si>
  <si>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</si>
  <si>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</si>
  <si>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</si>
  <si>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</si>
  <si>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</si>
  <si>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</si>
  <si>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</si>
  <si>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</si>
  <si>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</si>
  <si>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</si>
  <si>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</si>
  <si>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</si>
  <si>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</si>
  <si>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</si>
  <si>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</si>
  <si>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</si>
  <si>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</si>
  <si>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</si>
  <si>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</si>
  <si>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</si>
  <si>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</si>
  <si>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</si>
  <si>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</si>
  <si>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</si>
  <si>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</si>
  <si>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</si>
  <si>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</si>
  <si>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</si>
  <si>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</si>
  <si>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</si>
  <si>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</si>
  <si>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</si>
  <si>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</si>
  <si>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</si>
  <si>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</si>
  <si>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</si>
  <si>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</si>
  <si>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</si>
  <si>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</si>
  <si>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</si>
  <si>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</si>
  <si>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</si>
  <si>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</si>
  <si>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</si>
  <si>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</si>
  <si>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</si>
  <si>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</si>
  <si>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</si>
  <si>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</si>
  <si>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</si>
  <si>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</si>
  <si>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</si>
  <si>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</si>
  <si>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</si>
  <si>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</si>
  <si>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</si>
  <si>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</si>
  <si>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</si>
  <si>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</si>
  <si>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</si>
  <si>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</si>
  <si>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</si>
  <si>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</si>
  <si>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</si>
  <si>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</si>
  <si>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</si>
  <si>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</si>
  <si>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</si>
  <si>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</si>
  <si>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</si>
  <si>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</si>
  <si>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</si>
  <si>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</si>
  <si>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</si>
  <si>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</si>
  <si>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</si>
  <si>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</si>
  <si>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</si>
  <si>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</si>
  <si>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</si>
  <si>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</si>
  <si>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</si>
  <si>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</si>
  <si>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</si>
  <si>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</si>
  <si>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</si>
  <si>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</si>
  <si>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</si>
  <si>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</si>
  <si>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</si>
  <si>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</si>
  <si>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</si>
  <si>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</si>
  <si>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</si>
  <si>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</si>
  <si>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</si>
  <si>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</si>
  <si>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</si>
  <si>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</si>
  <si>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</si>
  <si>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</si>
  <si>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</si>
  <si>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</si>
  <si>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</si>
  <si>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</si>
  <si>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</si>
  <si>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</si>
  <si>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</si>
  <si>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</si>
  <si>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</si>
  <si>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</si>
  <si>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</si>
  <si>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</si>
  <si>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</si>
  <si>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</si>
  <si>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</si>
  <si>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</si>
  <si>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</si>
  <si>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</si>
  <si>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</si>
  <si>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</si>
  <si>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</si>
  <si>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</si>
  <si>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</si>
  <si>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</si>
  <si>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</si>
  <si>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</si>
  <si>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</si>
  <si>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</si>
  <si>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</si>
  <si>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</si>
  <si>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</si>
  <si>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</si>
  <si>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</si>
  <si>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</si>
  <si>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</si>
  <si>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</si>
  <si>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</si>
  <si>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</si>
  <si>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</si>
  <si>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</si>
  <si>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</si>
  <si>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</si>
  <si>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</si>
  <si>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</si>
  <si>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</si>
  <si>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</si>
  <si>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</si>
  <si>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</si>
  <si>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</si>
  <si>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</si>
  <si>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</si>
  <si>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</si>
  <si>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</si>
  <si>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</si>
  <si>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</si>
  <si>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</si>
  <si>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</si>
  <si>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</si>
  <si>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</si>
  <si>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</si>
  <si>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</si>
  <si>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</si>
  <si>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</si>
  <si>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</si>
  <si>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</si>
  <si>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</si>
  <si>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</si>
  <si>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</si>
  <si>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</si>
  <si>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</si>
  <si>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</si>
  <si>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</si>
  <si>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</si>
  <si>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</si>
  <si>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</si>
  <si>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</si>
  <si>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</si>
  <si>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</si>
  <si>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</si>
  <si>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</si>
  <si>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</si>
  <si>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</si>
  <si>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</si>
  <si>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</si>
  <si>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</si>
  <si>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</si>
  <si>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</si>
  <si>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</si>
  <si>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</si>
  <si>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</si>
  <si>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</si>
  <si>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</si>
  <si>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</si>
  <si>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</si>
  <si>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</si>
  <si>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</si>
  <si>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</si>
  <si>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</si>
  <si>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</si>
  <si>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</si>
  <si>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</si>
  <si>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</si>
  <si>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</si>
  <si>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</si>
  <si>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</si>
  <si>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</si>
  <si>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</si>
  <si>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</si>
  <si>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</si>
  <si>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</si>
  <si>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</si>
  <si>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</si>
  <si>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</si>
  <si>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</si>
  <si>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</si>
  <si>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</si>
  <si>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</si>
  <si>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</si>
  <si>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</si>
  <si>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</si>
  <si>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</si>
  <si>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</si>
  <si>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</si>
  <si>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</si>
  <si>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</si>
  <si>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</si>
  <si>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</si>
  <si>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</si>
  <si>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</si>
  <si>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</si>
  <si>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</si>
  <si>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</si>
  <si>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</si>
  <si>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</si>
  <si>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</si>
  <si>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</si>
  <si>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</si>
  <si>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</si>
  <si>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</si>
  <si>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</si>
  <si>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</si>
  <si>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</si>
  <si>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</si>
  <si>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</si>
  <si>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</si>
  <si>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</si>
  <si>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</si>
  <si>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</si>
  <si>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</si>
  <si>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</si>
  <si>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</si>
  <si>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</si>
  <si>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</si>
  <si>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</si>
  <si>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</si>
  <si>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</si>
  <si>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</si>
  <si>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</si>
  <si>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</si>
  <si>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</si>
  <si>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</si>
  <si>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</si>
  <si>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</si>
  <si>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</si>
  <si>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</si>
  <si>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</si>
  <si>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</si>
  <si>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</si>
  <si>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</si>
  <si>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</si>
  <si>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</si>
  <si>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</si>
  <si>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</si>
  <si>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</si>
  <si>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</si>
  <si>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</si>
  <si>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</si>
  <si>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</si>
  <si>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</si>
  <si>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</si>
  <si>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</si>
  <si>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</si>
  <si>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</si>
  <si>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</si>
  <si>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</si>
  <si>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</si>
  <si>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</si>
  <si>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</si>
  <si>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</si>
  <si>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</si>
  <si>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</si>
  <si>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</si>
  <si>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</si>
  <si>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</si>
  <si>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</si>
  <si>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</si>
  <si>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</si>
  <si>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</si>
  <si>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</si>
  <si>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</si>
  <si>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</si>
  <si>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</si>
  <si>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</si>
  <si>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</si>
  <si>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</si>
  <si>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</si>
  <si>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</si>
  <si>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</si>
  <si>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</si>
  <si>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</si>
  <si>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</si>
  <si>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</si>
  <si>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</si>
  <si>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</si>
  <si>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</si>
  <si>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</si>
  <si>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</si>
  <si>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</si>
  <si>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</si>
  <si>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</si>
  <si>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</si>
  <si>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</si>
  <si>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</si>
  <si>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</si>
  <si>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</si>
  <si>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</si>
  <si>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</si>
  <si>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</si>
  <si>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</si>
  <si>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</si>
  <si>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</si>
  <si>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</si>
  <si>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</si>
  <si>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</si>
  <si>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</si>
  <si>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</si>
  <si>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</si>
  <si>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</si>
  <si>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</si>
  <si>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</si>
  <si>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</si>
  <si>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</si>
  <si>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</si>
  <si>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</si>
  <si>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</si>
  <si>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</si>
  <si>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</si>
  <si>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</si>
  <si>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</si>
  <si>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</si>
  <si>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</si>
  <si>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</si>
  <si>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</si>
  <si>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</si>
  <si>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</si>
  <si>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</si>
  <si>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</si>
  <si>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</si>
  <si>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</si>
  <si>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</si>
  <si>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</si>
  <si>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</si>
  <si>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</si>
  <si>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</si>
  <si>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</si>
  <si>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</si>
  <si>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</si>
  <si>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</si>
  <si>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</si>
  <si>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</si>
  <si>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</si>
  <si>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</si>
  <si>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</si>
  <si>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</si>
  <si>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</si>
  <si>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</si>
  <si>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</si>
  <si>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</si>
  <si>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</si>
  <si>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</si>
  <si>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</si>
  <si>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</si>
  <si>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</si>
  <si>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</si>
  <si>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</si>
  <si>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</si>
  <si>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</si>
  <si>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</si>
  <si>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</si>
  <si>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</si>
  <si>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</si>
  <si>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</si>
  <si>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</si>
  <si>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</si>
  <si>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</si>
  <si>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</si>
  <si>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</si>
  <si>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</si>
  <si>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</si>
  <si>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</si>
  <si>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</si>
  <si>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</si>
  <si>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</si>
  <si>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</si>
  <si>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</si>
  <si>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</si>
  <si>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</si>
  <si>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</si>
  <si>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</si>
  <si>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</si>
  <si>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</si>
  <si>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</si>
  <si>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</si>
  <si>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</si>
  <si>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</si>
  <si>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</si>
  <si>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</si>
  <si>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</si>
  <si>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</si>
  <si>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</si>
  <si>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</si>
  <si>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</si>
  <si>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</si>
  <si>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</si>
  <si>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</si>
  <si>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</si>
  <si>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</si>
  <si>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</si>
  <si>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</si>
  <si>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</si>
  <si>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</si>
  <si>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</si>
  <si>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</si>
  <si>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</si>
  <si>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</si>
  <si>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</si>
  <si>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</si>
  <si>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</si>
  <si>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</si>
  <si>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</si>
  <si>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</si>
  <si>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</si>
  <si>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</si>
  <si>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</si>
  <si>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</si>
  <si>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</si>
  <si>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</si>
  <si>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</si>
  <si>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</si>
  <si>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</si>
  <si>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</si>
  <si>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</si>
  <si>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</si>
  <si>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</si>
  <si>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</si>
  <si>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</si>
  <si>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</si>
  <si>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</si>
  <si>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</si>
  <si>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</si>
  <si>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</si>
  <si>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</si>
  <si>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</si>
  <si>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</si>
  <si>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</si>
  <si>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</si>
  <si>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</si>
  <si>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</si>
  <si>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</si>
  <si>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</si>
  <si>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</si>
  <si>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</si>
  <si>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</si>
  <si>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</si>
  <si>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</si>
  <si>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</si>
  <si>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</si>
  <si>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</si>
  <si>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</si>
  <si>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</si>
  <si>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</si>
  <si>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</si>
  <si>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</si>
  <si>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</si>
  <si>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</si>
  <si>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</si>
  <si>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</si>
  <si>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</si>
  <si>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</si>
  <si>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</si>
  <si>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</si>
  <si>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</si>
  <si>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</si>
  <si>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</si>
  <si>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</si>
  <si>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</si>
  <si>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</si>
  <si>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</si>
  <si>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</si>
  <si>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</si>
  <si>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</si>
  <si>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</si>
  <si>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</si>
  <si>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</si>
  <si>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</si>
  <si>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</si>
  <si>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</si>
  <si>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</si>
  <si>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</si>
  <si>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</si>
  <si>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</si>
  <si>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</si>
  <si>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</si>
  <si>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</si>
  <si>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</si>
  <si>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</si>
  <si>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</si>
  <si>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</si>
  <si>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</si>
  <si>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</si>
  <si>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</si>
  <si>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</si>
  <si>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</si>
  <si>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</si>
  <si>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</si>
  <si>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</si>
  <si>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</si>
  <si>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</si>
  <si>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</si>
  <si>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</si>
  <si>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</si>
  <si>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</si>
  <si>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</si>
  <si>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</si>
  <si>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</si>
  <si>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</si>
  <si>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</si>
  <si>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</si>
  <si>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</si>
  <si>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</si>
  <si>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</si>
  <si>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</si>
  <si>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</si>
  <si>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</si>
  <si>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</si>
  <si>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</si>
  <si>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</si>
  <si>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</si>
  <si>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</si>
  <si>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</si>
  <si>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</si>
  <si>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</si>
  <si>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</si>
  <si>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</si>
  <si>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</si>
  <si>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</si>
  <si>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</si>
  <si>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</si>
  <si>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</si>
  <si>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</si>
  <si>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</si>
  <si>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</si>
  <si>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</si>
  <si>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</si>
  <si>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</si>
  <si>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</si>
  <si>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</si>
  <si>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</si>
  <si>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</si>
  <si>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</si>
  <si>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</si>
  <si>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</si>
  <si>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</si>
  <si>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</si>
  <si>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</si>
  <si>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</si>
  <si>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</si>
  <si>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</si>
  <si>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</si>
  <si>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</si>
  <si>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</si>
  <si>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</si>
  <si>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</si>
  <si>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</si>
  <si>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</si>
  <si>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</si>
  <si>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</si>
  <si>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</si>
  <si>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</si>
  <si>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</si>
  <si>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</si>
  <si>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</si>
  <si>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</si>
  <si>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</si>
  <si>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</si>
  <si>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</si>
  <si>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</si>
  <si>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</si>
  <si>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</si>
  <si>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</si>
  <si>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</si>
  <si>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</si>
  <si>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</si>
  <si>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</si>
  <si>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</si>
  <si>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</si>
  <si>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</si>
  <si>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</si>
  <si>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</si>
  <si>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</si>
  <si>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</si>
  <si>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</si>
  <si>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</si>
  <si>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</si>
  <si>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</si>
  <si>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</si>
  <si>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</si>
  <si>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</si>
  <si>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</si>
  <si>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</si>
  <si>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</si>
  <si>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</si>
  <si>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</si>
  <si>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</si>
  <si>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</si>
  <si>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</si>
  <si>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</si>
  <si>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</si>
  <si>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</si>
  <si>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</si>
  <si>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</si>
  <si>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</si>
  <si>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</si>
  <si>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</si>
  <si>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</si>
  <si>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</si>
  <si>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</si>
  <si>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</si>
  <si>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</si>
  <si>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</si>
  <si>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</si>
  <si>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</si>
  <si>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</si>
  <si>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</si>
  <si>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</si>
  <si>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</si>
  <si>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</si>
  <si>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</si>
  <si>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</si>
  <si>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</si>
  <si>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</si>
  <si>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</si>
  <si>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</si>
  <si>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</si>
  <si>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</si>
  <si>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</si>
  <si>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</si>
  <si>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</si>
  <si>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</si>
  <si>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</si>
  <si>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</si>
  <si>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</si>
  <si>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</si>
  <si>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</si>
  <si>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</si>
  <si>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</si>
  <si>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</si>
  <si>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</si>
  <si>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</si>
  <si>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</si>
  <si>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</si>
  <si>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</si>
  <si>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</si>
  <si>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</si>
  <si>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</si>
  <si>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</si>
  <si>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</si>
  <si>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</si>
  <si>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</si>
  <si>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</si>
  <si>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</si>
  <si>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</si>
  <si>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</si>
  <si>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</si>
  <si>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</si>
  <si>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</si>
  <si>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</si>
  <si>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</si>
  <si>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</si>
  <si>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</si>
  <si>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</si>
  <si>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</si>
  <si>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</si>
  <si>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</si>
  <si>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</si>
  <si>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</si>
  <si>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</si>
  <si>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</si>
  <si>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</si>
  <si>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</si>
  <si>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</si>
  <si>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</si>
  <si>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</si>
  <si>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</si>
  <si>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</si>
  <si>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</si>
  <si>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</si>
  <si>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</si>
  <si>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</si>
  <si>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</si>
  <si>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</si>
  <si>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</si>
  <si>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</si>
  <si>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</si>
  <si>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</si>
  <si>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</si>
  <si>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</si>
  <si>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</si>
  <si>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</si>
  <si>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</si>
  <si>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</si>
  <si>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</si>
  <si>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</si>
  <si>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</si>
  <si>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</si>
  <si>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</si>
  <si>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</si>
  <si>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</si>
  <si>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</si>
  <si>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</si>
  <si>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</si>
  <si>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</si>
  <si>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</si>
  <si>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</si>
  <si>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</si>
  <si>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</si>
  <si>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</si>
  <si>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</si>
  <si>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</si>
  <si>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</si>
  <si>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</si>
  <si>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</si>
  <si>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</si>
  <si>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</si>
  <si>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</si>
  <si>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</si>
  <si>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</si>
  <si>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</si>
  <si>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</si>
  <si>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</si>
  <si>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</si>
  <si>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</si>
  <si>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</si>
  <si>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</si>
  <si>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</si>
  <si>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</si>
  <si>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</si>
  <si>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</si>
  <si>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</si>
  <si>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</si>
  <si>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</si>
  <si>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</si>
  <si>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</si>
  <si>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</si>
  <si>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</si>
  <si>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</si>
  <si>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</si>
  <si>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</si>
  <si>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</si>
  <si>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</si>
  <si>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</si>
  <si>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</si>
  <si>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</si>
  <si>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</si>
  <si>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</si>
  <si>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</si>
  <si>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</si>
  <si>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</si>
  <si>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</si>
  <si>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</si>
  <si>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</si>
  <si>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</si>
  <si>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</si>
  <si>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</si>
  <si>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</si>
  <si>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</si>
  <si>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</si>
  <si>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</si>
  <si>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</si>
  <si>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</si>
  <si>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</si>
  <si>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</si>
  <si>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</si>
  <si>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</si>
  <si>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</si>
  <si>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</si>
  <si>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</si>
  <si>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</si>
  <si>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</si>
  <si>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</si>
  <si>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</si>
  <si>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</si>
  <si>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</si>
  <si>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</si>
  <si>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</si>
  <si>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</si>
  <si>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</si>
  <si>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</si>
  <si>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</si>
  <si>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</si>
  <si>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</si>
  <si>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</si>
  <si>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</si>
  <si>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</si>
  <si>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</si>
  <si>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</si>
  <si>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</si>
  <si>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</si>
  <si>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</si>
  <si>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</si>
  <si>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</si>
  <si>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</si>
  <si>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</si>
  <si>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</si>
  <si>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</si>
  <si>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</si>
  <si>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</si>
  <si>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</si>
  <si>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</si>
  <si>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</si>
  <si>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</si>
  <si>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</si>
  <si>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</si>
  <si>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</si>
  <si>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</si>
  <si>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</si>
  <si>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</si>
  <si>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</si>
  <si>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</si>
  <si>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</si>
  <si>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</si>
  <si>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</si>
  <si>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</si>
  <si>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</si>
  <si>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</si>
  <si>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</si>
  <si>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</si>
  <si>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</si>
  <si>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</si>
  <si>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</si>
  <si>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</si>
  <si>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</si>
  <si>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</si>
  <si>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</si>
  <si>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</si>
  <si>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</si>
  <si>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</si>
  <si>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</si>
  <si>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</si>
  <si>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</si>
  <si>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</si>
  <si>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</si>
  <si>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</si>
  <si>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</si>
  <si>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</si>
  <si>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</si>
  <si>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</si>
  <si>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</si>
  <si>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</si>
  <si>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</si>
  <si>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</si>
  <si>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</si>
  <si>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</si>
  <si>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</si>
  <si>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</si>
  <si>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</si>
  <si>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</si>
  <si>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</si>
  <si>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</si>
  <si>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</si>
  <si>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</si>
  <si>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</si>
  <si>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</si>
  <si>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</si>
  <si>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</si>
  <si>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</si>
  <si>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</si>
  <si>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</si>
  <si>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</si>
  <si>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</si>
  <si>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</si>
  <si>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</si>
  <si>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</si>
  <si>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</si>
  <si>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</si>
  <si>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</si>
  <si>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</si>
  <si>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</si>
  <si>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</si>
  <si>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</si>
  <si>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</si>
  <si>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</si>
  <si>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</si>
  <si>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</si>
  <si>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</si>
  <si>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</si>
  <si>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</si>
  <si>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</si>
  <si>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</si>
  <si>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</si>
  <si>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</si>
  <si>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</si>
  <si>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</si>
  <si>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</si>
  <si>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</si>
  <si>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</si>
  <si>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</si>
  <si>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</si>
  <si>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</si>
  <si>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</si>
  <si>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</si>
  <si>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</si>
  <si>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</si>
  <si>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</si>
  <si>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</si>
  <si>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</si>
  <si>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</si>
  <si>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</si>
  <si>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</si>
  <si>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</si>
  <si>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</si>
  <si>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</si>
  <si>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</si>
  <si>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</si>
  <si>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</si>
  <si>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</si>
  <si>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</si>
  <si>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</si>
  <si>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</si>
  <si>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</si>
  <si>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</si>
  <si>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</si>
  <si>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</si>
  <si>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</si>
  <si>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</si>
  <si>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</si>
  <si>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</si>
  <si>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</si>
  <si>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</si>
  <si>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</si>
  <si>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</si>
  <si>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</si>
  <si>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</si>
  <si>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</si>
  <si>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</si>
  <si>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</si>
  <si>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</si>
  <si>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</si>
  <si>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</si>
  <si>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</si>
  <si>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</si>
  <si>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</si>
  <si>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</si>
  <si>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</si>
  <si>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</si>
  <si>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</si>
  <si>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</si>
  <si>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</si>
  <si>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</si>
  <si>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</si>
  <si>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</si>
  <si>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</si>
  <si>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</si>
  <si>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</si>
  <si>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</si>
  <si>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</si>
  <si>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</si>
  <si>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</si>
  <si>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</si>
  <si>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</si>
  <si>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</si>
  <si>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</si>
  <si>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</si>
  <si>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</si>
  <si>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</si>
  <si>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</si>
  <si>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</si>
  <si>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</si>
  <si>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</si>
  <si>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</si>
  <si>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</si>
  <si>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</si>
  <si>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</si>
  <si>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</si>
  <si>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</si>
  <si>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</si>
  <si>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</si>
  <si>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</si>
  <si>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</si>
  <si>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</si>
  <si>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</si>
  <si>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</si>
  <si>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</si>
  <si>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</si>
  <si>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</si>
  <si>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</si>
  <si>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</si>
  <si>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</si>
  <si>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</si>
  <si>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</si>
  <si>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</si>
  <si>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</si>
  <si>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</si>
  <si>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</si>
  <si>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</si>
  <si>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</si>
  <si>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</si>
  <si>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</si>
  <si>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</si>
  <si>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</si>
  <si>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</si>
  <si>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</si>
  <si>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</si>
  <si>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</si>
  <si>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</si>
  <si>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</si>
  <si>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</si>
  <si>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</si>
  <si>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</si>
  <si>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</si>
  <si>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</si>
  <si>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</si>
  <si>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</si>
  <si>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</si>
  <si>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</si>
  <si>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</si>
  <si>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</si>
  <si>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</si>
  <si>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</si>
  <si>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</si>
  <si>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</si>
  <si>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</si>
  <si>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</si>
  <si>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</si>
  <si>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</si>
  <si>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</si>
  <si>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</si>
  <si>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</si>
  <si>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</si>
  <si>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</si>
  <si>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</si>
  <si>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</si>
  <si>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</si>
  <si>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</si>
  <si>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</si>
  <si>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</si>
  <si>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</si>
  <si>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</si>
  <si>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</si>
  <si>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</si>
  <si>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</si>
  <si>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</si>
  <si>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</si>
  <si>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</si>
  <si>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</si>
  <si>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</si>
  <si>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</si>
  <si>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</si>
  <si>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</si>
  <si>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</si>
  <si>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</si>
  <si>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</si>
  <si>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</si>
  <si>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</si>
  <si>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</si>
  <si>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</si>
  <si>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</si>
  <si>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</si>
  <si>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</si>
  <si>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</si>
  <si>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</si>
  <si>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</si>
  <si>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</si>
  <si>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</si>
  <si>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</si>
  <si>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</si>
  <si>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</si>
  <si>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</si>
  <si>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</si>
  <si>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</si>
  <si>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</si>
  <si>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</si>
  <si>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</si>
  <si>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</si>
  <si>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</si>
  <si>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</si>
  <si>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</si>
  <si>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</si>
  <si>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</si>
  <si>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</si>
  <si>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</si>
  <si>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</si>
  <si>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</si>
  <si>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</si>
  <si>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</si>
  <si>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</si>
  <si>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</si>
  <si>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</si>
  <si>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</si>
  <si>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</si>
  <si>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</si>
  <si>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</si>
  <si>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</si>
  <si>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</si>
  <si>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</si>
  <si>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</si>
  <si>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</si>
  <si>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</si>
  <si>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</si>
  <si>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</si>
  <si>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</si>
  <si>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</si>
  <si>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</si>
  <si>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</si>
  <si>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</si>
  <si>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</si>
  <si>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</si>
  <si>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</si>
  <si>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</si>
  <si>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</si>
  <si>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</si>
  <si>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</si>
  <si>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</si>
  <si>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</si>
  <si>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</si>
  <si>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</si>
  <si>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</si>
  <si>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</si>
  <si>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</si>
  <si>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</si>
  <si>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</si>
  <si>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</si>
  <si>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</si>
  <si>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</si>
  <si>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</si>
  <si>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</si>
  <si>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</si>
  <si>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</si>
  <si>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</si>
  <si>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</si>
  <si>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</si>
  <si>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</si>
  <si>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</si>
  <si>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</si>
  <si>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</si>
  <si>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</si>
  <si>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</si>
  <si>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</si>
  <si>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</si>
  <si>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</si>
  <si>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</si>
  <si>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</si>
  <si>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</si>
  <si>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</si>
  <si>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</si>
  <si>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</si>
  <si>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</si>
  <si>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</si>
  <si>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</si>
  <si>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</si>
  <si>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</si>
  <si>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</si>
  <si>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</si>
  <si>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</si>
  <si>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</si>
  <si>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</si>
  <si>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</si>
  <si>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</si>
  <si>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</si>
  <si>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</si>
  <si>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</si>
  <si>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</si>
  <si>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</si>
  <si>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</si>
  <si>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</si>
  <si>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</si>
  <si>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</si>
  <si>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</si>
  <si>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</si>
  <si>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</si>
  <si>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</si>
  <si>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</si>
  <si>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</si>
  <si>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</si>
  <si>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</si>
  <si>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</si>
  <si>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</si>
  <si>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</si>
  <si>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</si>
  <si>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</si>
  <si>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</si>
  <si>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</si>
  <si>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</si>
  <si>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</si>
  <si>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</si>
  <si>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</si>
  <si>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</si>
  <si>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</si>
  <si>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</si>
  <si>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</si>
  <si>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</si>
  <si>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</si>
  <si>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</si>
  <si>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</si>
  <si>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</si>
  <si>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</si>
  <si>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</si>
  <si>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</si>
  <si>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</si>
  <si>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</si>
  <si>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</si>
  <si>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</si>
  <si>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</si>
  <si>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</si>
  <si>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</si>
  <si>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</si>
  <si>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</si>
  <si>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</si>
  <si>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</si>
  <si>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</si>
  <si>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</si>
  <si>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</si>
  <si>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</si>
  <si>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</si>
  <si>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</si>
  <si>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</si>
  <si>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</si>
  <si>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</si>
  <si>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</si>
  <si>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</si>
  <si>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</si>
  <si>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</si>
  <si>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</si>
  <si>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</si>
  <si>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</si>
  <si>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</si>
  <si>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</si>
  <si>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</si>
  <si>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</si>
  <si>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</si>
  <si>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</si>
  <si>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</si>
  <si>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</si>
  <si>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</si>
  <si>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</si>
  <si>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</si>
  <si>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</si>
  <si>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</si>
  <si>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</si>
  <si>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</si>
  <si>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</si>
  <si>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</si>
  <si>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</si>
  <si>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</si>
  <si>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</si>
  <si>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</si>
  <si>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</si>
  <si>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</si>
  <si>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</si>
  <si>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</si>
  <si>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</si>
  <si>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</si>
  <si>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</si>
  <si>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</si>
  <si>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</si>
  <si>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</si>
  <si>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</si>
  <si>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</si>
  <si>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</si>
  <si>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</si>
  <si>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</si>
  <si>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</si>
  <si>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</si>
  <si>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</si>
  <si>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</si>
  <si>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</si>
  <si>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</si>
  <si>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</si>
  <si>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</si>
  <si>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</si>
  <si>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</si>
  <si>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</si>
  <si>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</si>
  <si>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</si>
  <si>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</si>
  <si>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</si>
  <si>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</si>
  <si>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</si>
  <si>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</si>
  <si>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</si>
  <si>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</si>
  <si>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</si>
  <si>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</si>
  <si>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</si>
  <si>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</si>
  <si>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</si>
  <si>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</si>
  <si>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</si>
  <si>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</si>
  <si>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</si>
  <si>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</si>
  <si>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</si>
  <si>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</si>
  <si>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</si>
  <si>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</si>
  <si>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</si>
  <si>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</si>
  <si>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</si>
  <si>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</si>
  <si>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</si>
  <si>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</si>
  <si>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</si>
  <si>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</si>
  <si>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</si>
  <si>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</si>
  <si>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</si>
  <si>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</si>
  <si>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</si>
  <si>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</si>
  <si>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</si>
  <si>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</si>
  <si>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</si>
  <si>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</si>
  <si>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</si>
  <si>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</si>
  <si>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</si>
  <si>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</si>
  <si>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</si>
  <si>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</si>
  <si>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</si>
  <si>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</si>
  <si>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</si>
  <si>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</si>
  <si>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</si>
  <si>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</si>
  <si>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</si>
  <si>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</si>
  <si>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</si>
  <si>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</si>
  <si>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</si>
  <si>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</si>
  <si>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</si>
  <si>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</si>
  <si>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</si>
  <si>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</si>
  <si>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</si>
  <si>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</si>
  <si>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</si>
  <si>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</si>
  <si>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</si>
  <si>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</si>
  <si>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</si>
  <si>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</si>
  <si>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</si>
  <si>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</si>
  <si>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</si>
  <si>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</si>
  <si>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</si>
  <si>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</si>
  <si>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</si>
  <si>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</si>
  <si>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</si>
  <si>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</si>
  <si>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</si>
  <si>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</si>
  <si>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</si>
  <si>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</si>
  <si>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</si>
  <si>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</si>
  <si>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</si>
  <si>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</si>
  <si>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</si>
  <si>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</si>
  <si>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</si>
  <si>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</si>
  <si>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</si>
  <si>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</si>
  <si>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</si>
  <si>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</si>
  <si>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</si>
  <si>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</si>
  <si>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</si>
  <si>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</si>
  <si>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</si>
  <si>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</si>
  <si>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</si>
  <si>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</si>
  <si>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</si>
  <si>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</si>
  <si>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</si>
  <si>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</si>
  <si>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</si>
  <si>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</si>
  <si>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</si>
  <si>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</si>
  <si>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</si>
  <si>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</si>
  <si>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</si>
  <si>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</si>
  <si>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</si>
  <si>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</si>
  <si>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</si>
  <si>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</si>
  <si>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</si>
  <si>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</si>
  <si>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</si>
  <si>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</si>
  <si>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</si>
  <si>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</si>
  <si>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</si>
  <si>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</si>
  <si>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</si>
  <si>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</si>
  <si>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</si>
  <si>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</si>
  <si>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</si>
  <si>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</si>
  <si>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</si>
  <si>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</si>
  <si>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</si>
  <si>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</si>
  <si>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</si>
  <si>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</si>
  <si>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</si>
  <si>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</si>
  <si>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</si>
  <si>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</si>
  <si>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</si>
  <si>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</si>
  <si>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</si>
  <si>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</si>
  <si>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</si>
  <si>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</si>
  <si>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</si>
  <si>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</si>
  <si>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</si>
  <si>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</si>
  <si>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</si>
  <si>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</si>
  <si>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</si>
  <si>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</si>
  <si>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</si>
  <si>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</si>
  <si>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</si>
  <si>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</si>
  <si>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</si>
  <si>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</si>
  <si>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</si>
  <si>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</si>
  <si>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</si>
  <si>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</si>
  <si>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</si>
  <si>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</si>
  <si>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</si>
  <si>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</si>
  <si>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</si>
  <si>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</si>
  <si>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</si>
  <si>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</si>
  <si>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</si>
  <si>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</si>
  <si>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</si>
  <si>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</si>
  <si>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</si>
  <si>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</si>
  <si>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</si>
  <si>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</si>
  <si>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</si>
  <si>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</si>
  <si>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</si>
  <si>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</si>
  <si>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</si>
  <si>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</si>
  <si>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</si>
  <si>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</si>
  <si>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</si>
  <si>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</si>
  <si>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</si>
  <si>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</si>
  <si>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</si>
  <si>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</si>
  <si>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</si>
  <si>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</si>
  <si>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</si>
  <si>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</si>
  <si>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</si>
  <si>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</si>
  <si>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</si>
  <si>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</si>
  <si>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</si>
  <si>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</si>
  <si>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</si>
  <si>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</si>
  <si>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</si>
  <si>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</si>
  <si>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</si>
  <si>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</si>
  <si>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</si>
  <si>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</si>
  <si>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</si>
  <si>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</si>
  <si>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</si>
  <si>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</si>
  <si>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</si>
  <si>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</si>
  <si>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</si>
  <si>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</si>
  <si>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</si>
  <si>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</si>
  <si>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</si>
  <si>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</si>
  <si>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</si>
  <si>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</si>
  <si>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</si>
  <si>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</si>
  <si>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</si>
  <si>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</si>
  <si>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</si>
  <si>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</si>
  <si>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</si>
  <si>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</si>
  <si>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</si>
  <si>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</si>
  <si>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</si>
  <si>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</si>
  <si>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</si>
  <si>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</si>
  <si>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</si>
  <si>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</si>
  <si>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</si>
  <si>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</si>
  <si>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</si>
  <si>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</si>
  <si>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</si>
  <si>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</si>
  <si>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</si>
  <si>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</si>
  <si>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</si>
  <si>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</si>
  <si>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</si>
  <si>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</si>
  <si>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</si>
  <si>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</si>
  <si>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</si>
  <si>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</si>
  <si>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</si>
  <si>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</si>
  <si>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</si>
  <si>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</si>
  <si>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</si>
  <si>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</si>
  <si>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</si>
  <si>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</si>
  <si>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</si>
  <si>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</si>
  <si>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</si>
  <si>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</si>
  <si>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</si>
  <si>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</si>
  <si>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</si>
  <si>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</si>
  <si>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</si>
  <si>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</si>
  <si>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</si>
  <si>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</si>
  <si>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</si>
  <si>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</si>
  <si>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</si>
  <si>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</si>
  <si>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</si>
  <si>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</si>
  <si>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</si>
  <si>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</si>
  <si>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</si>
  <si>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</si>
  <si>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</si>
  <si>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</si>
  <si>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</si>
  <si>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</si>
  <si>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</si>
  <si>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</si>
  <si>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</si>
  <si>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</si>
  <si>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</si>
  <si>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</si>
  <si>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</si>
  <si>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</si>
  <si>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</si>
  <si>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</si>
  <si>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</si>
  <si>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</si>
  <si>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</si>
  <si>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</si>
  <si>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</si>
  <si>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</si>
  <si>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</si>
  <si>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</si>
  <si>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</si>
  <si>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</si>
  <si>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</si>
  <si>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</si>
  <si>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</si>
  <si>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</si>
  <si>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</si>
  <si>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</si>
  <si>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</si>
  <si>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</si>
  <si>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</si>
  <si>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</si>
  <si>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</si>
  <si>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</si>
  <si>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</si>
  <si>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</si>
  <si>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</si>
  <si>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</si>
  <si>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</si>
  <si>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</si>
  <si>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</si>
  <si>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</si>
  <si>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</si>
  <si>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</si>
  <si>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</si>
  <si>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</si>
  <si>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</si>
  <si>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</si>
  <si>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</si>
  <si>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</si>
  <si>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</si>
  <si>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</si>
  <si>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</si>
  <si>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</si>
  <si>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</si>
  <si>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</si>
  <si>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</si>
  <si>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</si>
  <si>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</si>
  <si>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</si>
  <si>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</si>
  <si>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</si>
  <si>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</si>
  <si>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</si>
  <si>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</si>
  <si>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</si>
  <si>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</si>
  <si>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</si>
  <si>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</si>
  <si>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</si>
  <si>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</si>
  <si>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</si>
  <si>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</si>
  <si>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</si>
  <si>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</si>
  <si>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</si>
  <si>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</si>
  <si>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</si>
  <si>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</si>
  <si>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</si>
  <si>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</si>
  <si>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</si>
  <si>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</si>
  <si>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</si>
  <si>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</si>
  <si>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</si>
  <si>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</si>
  <si>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</si>
  <si>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</si>
  <si>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</si>
  <si>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</si>
  <si>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</si>
  <si>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</si>
  <si>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</si>
  <si>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</si>
  <si>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</si>
  <si>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</si>
  <si>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</si>
  <si>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</si>
  <si>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</si>
  <si>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</si>
  <si>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</si>
  <si>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</si>
  <si>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</si>
  <si>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</si>
  <si>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</si>
  <si>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</si>
  <si>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</si>
  <si>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</si>
  <si>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</si>
  <si>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</si>
  <si>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</si>
  <si>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</si>
  <si>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</si>
  <si>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</si>
  <si>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</si>
  <si>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</si>
  <si>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</si>
  <si>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</si>
  <si>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</si>
  <si>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</si>
  <si>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</si>
  <si>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</si>
  <si>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</si>
  <si>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</si>
  <si>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</si>
  <si>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</si>
  <si>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</si>
  <si>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</si>
  <si>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</si>
  <si>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</si>
  <si>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</si>
  <si>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</si>
  <si>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</si>
  <si>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</si>
  <si>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</si>
  <si>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</si>
  <si>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</si>
  <si>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</si>
  <si>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</si>
  <si>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</si>
  <si>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</si>
  <si>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</si>
  <si>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</si>
  <si>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</si>
  <si>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</si>
  <si>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</si>
  <si>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</si>
  <si>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</si>
  <si>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</si>
  <si>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</si>
  <si>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</si>
  <si>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</si>
  <si>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</si>
  <si>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</si>
  <si>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</si>
  <si>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</si>
  <si>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</si>
  <si>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</si>
  <si>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</si>
  <si>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</si>
  <si>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</si>
  <si>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</si>
  <si>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</si>
  <si>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</si>
  <si>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</si>
  <si>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</si>
  <si>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</si>
  <si>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</si>
  <si>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</si>
  <si>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</si>
  <si>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</si>
  <si>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</si>
  <si>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</si>
  <si>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</si>
  <si>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</si>
  <si>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</si>
  <si>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</si>
  <si>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</si>
  <si>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</si>
  <si>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</si>
  <si>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</si>
  <si>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</si>
  <si>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</si>
  <si>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</si>
  <si>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</si>
  <si>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</si>
  <si>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</si>
  <si>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</si>
  <si>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</si>
  <si>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</si>
  <si>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</si>
  <si>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</si>
  <si>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</si>
  <si>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</si>
  <si>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</si>
  <si>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</si>
  <si>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</si>
  <si>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</si>
  <si>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</si>
  <si>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</si>
  <si>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</si>
  <si>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</si>
  <si>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</si>
  <si>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</si>
  <si>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</si>
  <si>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</si>
  <si>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</si>
  <si>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</si>
  <si>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</si>
  <si>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</si>
  <si>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</si>
  <si>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</si>
  <si>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</si>
  <si>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</si>
  <si>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</si>
  <si>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</si>
  <si>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</si>
  <si>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</si>
  <si>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</si>
  <si>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</si>
  <si>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</si>
  <si>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</si>
  <si>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</si>
  <si>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</si>
  <si>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</si>
  <si>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</si>
  <si>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</si>
  <si>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</si>
  <si>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</si>
  <si>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</si>
  <si>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</si>
  <si>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</si>
  <si>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</si>
  <si>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</si>
  <si>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</si>
  <si>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</si>
  <si>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</si>
  <si>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</si>
  <si>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</si>
  <si>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</si>
  <si>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</si>
  <si>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</si>
  <si>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</si>
  <si>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</si>
  <si>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</si>
  <si>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</si>
  <si>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</si>
  <si>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</si>
  <si>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</si>
  <si>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</si>
  <si>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</si>
  <si>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</si>
  <si>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</si>
  <si>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</si>
  <si>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</si>
  <si>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</si>
  <si>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</si>
  <si>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</si>
  <si>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</si>
  <si>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</si>
  <si>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</si>
  <si>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</si>
  <si>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</si>
  <si>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</si>
  <si>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</si>
  <si>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</si>
  <si>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</si>
  <si>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</si>
  <si>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</si>
  <si>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</si>
  <si>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</si>
  <si>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</si>
  <si>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</si>
  <si>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</si>
  <si>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</si>
  <si>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</si>
  <si>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</si>
  <si>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</si>
  <si>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</si>
  <si>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</si>
  <si>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</si>
  <si>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</si>
  <si>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</si>
  <si>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</si>
  <si>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</si>
  <si>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</si>
  <si>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</si>
  <si>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</si>
  <si>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</si>
  <si>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</si>
  <si>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</si>
  <si>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</si>
  <si>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</si>
  <si>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</si>
  <si>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</si>
  <si>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</si>
  <si>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</si>
  <si>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</si>
  <si>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</si>
  <si>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</si>
  <si>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</si>
  <si>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</si>
  <si>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</si>
  <si>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</si>
  <si>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</si>
  <si>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</si>
  <si>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</si>
  <si>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</si>
  <si>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</si>
  <si>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</si>
  <si>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</si>
  <si>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</si>
  <si>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</si>
  <si>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</si>
  <si>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</si>
  <si>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</si>
  <si>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</si>
  <si>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</si>
  <si>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</si>
  <si>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</si>
  <si>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</si>
  <si>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</si>
  <si>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</si>
  <si>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</si>
  <si>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</si>
  <si>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</si>
  <si>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</si>
  <si>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</si>
  <si>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</si>
  <si>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</si>
  <si>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</si>
  <si>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</si>
  <si>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</si>
  <si>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</si>
  <si>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</si>
  <si>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</si>
  <si>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</si>
  <si>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</si>
  <si>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</si>
  <si>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</si>
  <si>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</si>
  <si>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</si>
  <si>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</si>
  <si>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</si>
  <si>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</si>
  <si>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</si>
  <si>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</si>
  <si>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</si>
  <si>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</si>
  <si>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</si>
  <si>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</si>
  <si>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</si>
  <si>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</si>
  <si>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</si>
  <si>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</si>
  <si>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</si>
  <si>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</si>
  <si>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</si>
  <si>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</si>
  <si>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</si>
  <si>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</si>
  <si>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</si>
  <si>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</si>
  <si>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</si>
  <si>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</si>
  <si>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</si>
  <si>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</si>
  <si>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</si>
  <si>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</si>
  <si>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</si>
  <si>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</si>
  <si>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</si>
  <si>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</si>
  <si>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</si>
  <si>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</si>
  <si>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</si>
  <si>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</si>
  <si>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</si>
  <si>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</si>
  <si>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</si>
  <si>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</si>
  <si>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</si>
  <si>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</si>
  <si>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</si>
  <si>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</si>
  <si>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</si>
  <si>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</si>
  <si>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</si>
  <si>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</si>
  <si>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</si>
  <si>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</si>
  <si>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</si>
  <si>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</si>
  <si>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</si>
  <si>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</si>
  <si>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</si>
  <si>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</si>
  <si>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</si>
  <si>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</si>
  <si>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</si>
  <si>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</si>
  <si>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</si>
  <si>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</si>
  <si>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</si>
  <si>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</si>
  <si>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</si>
  <si>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</si>
  <si>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</si>
  <si>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</si>
  <si>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</si>
  <si>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</si>
  <si>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</si>
  <si>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</si>
  <si>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</si>
  <si>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</si>
  <si>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</si>
  <si>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</si>
  <si>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</si>
  <si>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</si>
  <si>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</si>
  <si>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</si>
  <si>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</si>
  <si>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</si>
  <si>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</si>
  <si>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</si>
  <si>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</si>
  <si>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</si>
  <si>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</si>
  <si>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</si>
  <si>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</si>
  <si>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</si>
  <si>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</si>
  <si>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</si>
  <si>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</si>
  <si>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</si>
  <si>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</si>
  <si>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</si>
  <si>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</si>
  <si>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</si>
  <si>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</si>
  <si>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</si>
  <si>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</si>
  <si>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</si>
  <si>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</si>
  <si>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</si>
  <si>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</si>
  <si>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</si>
  <si>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</si>
  <si>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</si>
  <si>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</si>
  <si>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</si>
  <si>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</si>
  <si>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</si>
  <si>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</si>
  <si>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</si>
  <si>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</si>
  <si>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</si>
  <si>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</si>
  <si>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</si>
  <si>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</si>
  <si>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</si>
  <si>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</si>
  <si>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</si>
  <si>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</si>
  <si>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</si>
  <si>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</si>
  <si>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</si>
  <si>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</si>
  <si>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</si>
  <si>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</si>
  <si>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</si>
  <si>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</si>
  <si>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</si>
  <si>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</si>
  <si>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</si>
  <si>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</si>
  <si>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</si>
  <si>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</si>
  <si>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</si>
  <si>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</si>
  <si>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</si>
  <si>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</si>
  <si>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</si>
  <si>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</si>
  <si>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</si>
  <si>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</si>
  <si>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</si>
  <si>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</si>
  <si>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</si>
  <si>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</si>
  <si>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</si>
  <si>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</si>
  <si>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</si>
  <si>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</si>
  <si>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</si>
  <si>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</si>
  <si>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</si>
  <si>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</si>
  <si>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</si>
  <si>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</si>
  <si>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</si>
  <si>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</si>
  <si>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</si>
  <si>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</si>
  <si>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</si>
  <si>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</si>
  <si>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</si>
  <si>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</si>
  <si>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</si>
  <si>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</si>
  <si>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</si>
  <si>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</si>
  <si>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</si>
  <si>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</si>
  <si>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</si>
  <si>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</si>
  <si>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</si>
  <si>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</si>
  <si>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</si>
  <si>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</si>
  <si>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</si>
  <si>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</si>
  <si>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</si>
  <si>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</si>
  <si>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</si>
  <si>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</si>
  <si>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</si>
  <si>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</si>
  <si>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</si>
  <si>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</si>
  <si>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</si>
  <si>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</si>
  <si>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</si>
  <si>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</si>
  <si>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</si>
  <si>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</si>
  <si>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</si>
  <si>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</si>
  <si>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</si>
  <si>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</si>
  <si>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</si>
  <si>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</si>
  <si>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</si>
  <si>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</si>
  <si>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</si>
  <si>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</si>
  <si>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</si>
  <si>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</si>
  <si>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</si>
  <si>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</si>
  <si>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</si>
  <si>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</si>
  <si>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</si>
  <si>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</si>
  <si>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</si>
  <si>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</si>
  <si>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</si>
  <si>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</si>
  <si>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</si>
  <si>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</si>
  <si>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</si>
  <si>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</si>
  <si>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</si>
  <si>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</si>
  <si>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</si>
  <si>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</si>
  <si>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</si>
  <si>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</si>
  <si>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</si>
  <si>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</si>
  <si>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</si>
  <si>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</si>
  <si>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</si>
  <si>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</si>
  <si>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</si>
  <si>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</si>
  <si>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</si>
  <si>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</si>
  <si>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</si>
  <si>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</si>
  <si>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</si>
  <si>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</si>
  <si>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</si>
  <si>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</si>
  <si>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</si>
  <si>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</si>
  <si>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</si>
  <si>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</si>
  <si>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</si>
  <si>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</si>
  <si>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</si>
  <si>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</si>
  <si>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</si>
  <si>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</si>
  <si>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</si>
  <si>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</si>
  <si>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</si>
  <si>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</si>
  <si>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</si>
  <si>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</si>
  <si>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</si>
  <si>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</si>
  <si>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</si>
  <si>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</si>
  <si>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</si>
  <si>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</si>
  <si>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</si>
  <si>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</si>
  <si>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</si>
  <si>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</si>
  <si>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</si>
  <si>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</si>
  <si>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</si>
  <si>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</si>
  <si>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</si>
  <si>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</si>
  <si>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</si>
  <si>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</si>
  <si>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</si>
  <si>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</si>
  <si>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</si>
  <si>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</si>
  <si>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</si>
  <si>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</si>
  <si>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</si>
  <si>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</si>
  <si>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</si>
  <si>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</si>
  <si>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</si>
  <si>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</si>
  <si>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</si>
  <si>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</si>
  <si>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</si>
  <si>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</si>
  <si>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</si>
  <si>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</si>
  <si>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</si>
  <si>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</si>
  <si>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</si>
  <si>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</si>
  <si>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</si>
  <si>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</si>
  <si>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</si>
  <si>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</si>
  <si>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</si>
  <si>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</si>
  <si>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</si>
  <si>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</si>
  <si>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</si>
  <si>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</si>
  <si>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</si>
  <si>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</si>
  <si>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</si>
  <si>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</si>
  <si>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</si>
  <si>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</si>
  <si>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</si>
  <si>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</si>
  <si>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</si>
  <si>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</si>
  <si>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</si>
  <si>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</si>
  <si>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</si>
  <si>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</si>
  <si>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</si>
  <si>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</si>
  <si>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</si>
  <si>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</si>
  <si>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</si>
  <si>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</si>
  <si>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</si>
  <si>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</si>
  <si>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</si>
  <si>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</si>
  <si>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</si>
  <si>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</si>
  <si>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</si>
  <si>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</si>
  <si>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</si>
  <si>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</si>
  <si>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</si>
  <si>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</si>
  <si>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</si>
  <si>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</si>
  <si>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</si>
  <si>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</si>
  <si>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</si>
  <si>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</si>
  <si>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</si>
  <si>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</si>
  <si>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</si>
  <si>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</si>
  <si>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</si>
  <si>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</si>
  <si>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</si>
  <si>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</si>
  <si>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</si>
  <si>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</si>
  <si>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</si>
  <si>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</si>
  <si>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</si>
  <si>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</si>
  <si>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</si>
  <si>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</si>
  <si>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</si>
  <si>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</si>
  <si>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</si>
  <si>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</si>
  <si>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</si>
  <si>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</si>
  <si>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</si>
  <si>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</si>
  <si>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</si>
  <si>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</si>
  <si>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</si>
  <si>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</si>
  <si>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</si>
  <si>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</si>
  <si>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</si>
  <si>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</si>
  <si>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</si>
  <si>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</si>
  <si>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</si>
  <si>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</si>
  <si>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</si>
  <si>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</si>
  <si>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</si>
  <si>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</si>
  <si>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</si>
  <si>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</si>
  <si>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</si>
  <si>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</si>
  <si>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</si>
  <si>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</si>
  <si>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</si>
  <si>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</si>
  <si>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</si>
  <si>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</si>
  <si>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</si>
  <si>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</si>
  <si>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</si>
  <si>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</si>
  <si>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</si>
  <si>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</si>
  <si>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</si>
  <si>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</si>
  <si>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</si>
  <si>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</si>
  <si>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</si>
  <si>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</si>
  <si>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</si>
  <si>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</si>
  <si>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</si>
  <si>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</si>
  <si>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</si>
  <si>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</si>
  <si>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</si>
  <si>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</si>
  <si>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</si>
  <si>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</si>
  <si>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</si>
  <si>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</si>
  <si>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</si>
  <si>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</si>
  <si>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</si>
  <si>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</si>
  <si>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</si>
  <si>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</si>
  <si>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</si>
  <si>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</si>
  <si>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</si>
  <si>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</si>
  <si>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</si>
  <si>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</si>
  <si>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</si>
  <si>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</si>
  <si>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</si>
  <si>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</si>
  <si>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</si>
  <si>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</si>
  <si>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</si>
  <si>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</si>
  <si>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</si>
  <si>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</si>
  <si>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</si>
  <si>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</si>
  <si>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</si>
  <si>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</si>
  <si>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</si>
  <si>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</si>
  <si>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</si>
  <si>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</si>
  <si>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</si>
  <si>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</si>
  <si>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</si>
  <si>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</si>
  <si>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</si>
  <si>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</si>
  <si>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</si>
  <si>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</si>
  <si>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</si>
  <si>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</si>
  <si>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</si>
  <si>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</si>
  <si>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</si>
  <si>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</si>
  <si>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</si>
  <si>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</si>
  <si>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</si>
  <si>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</si>
  <si>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</si>
  <si>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</si>
  <si>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</si>
  <si>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</si>
  <si>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</si>
  <si>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</si>
  <si>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</si>
  <si>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</si>
  <si>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</si>
  <si>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</si>
  <si>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</si>
  <si>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</si>
  <si>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</si>
  <si>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</si>
  <si>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</si>
  <si>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</si>
  <si>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</si>
  <si>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</si>
  <si>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</si>
  <si>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</si>
  <si>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</si>
  <si>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</si>
  <si>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</si>
  <si>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</si>
  <si>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</si>
  <si>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</si>
  <si>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</si>
  <si>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</si>
  <si>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</si>
  <si>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</si>
  <si>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</si>
  <si>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</si>
  <si>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</si>
  <si>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</si>
  <si>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</si>
  <si>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</si>
  <si>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</si>
  <si>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</si>
  <si>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</si>
  <si>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</si>
  <si>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</si>
  <si>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</si>
  <si>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</si>
  <si>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</si>
  <si>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</si>
  <si>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</si>
  <si>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</si>
  <si>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</si>
  <si>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</si>
  <si>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</si>
  <si>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</si>
  <si>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</si>
  <si>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</si>
  <si>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</si>
  <si>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</si>
  <si>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</si>
  <si>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</si>
  <si>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</si>
  <si>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</si>
  <si>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</si>
  <si>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</si>
  <si>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</si>
  <si>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</si>
  <si>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</si>
  <si>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</si>
  <si>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</si>
  <si>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</si>
  <si>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</si>
  <si>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</si>
  <si>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</si>
  <si>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</si>
  <si>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</si>
  <si>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</si>
  <si>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</si>
  <si>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</si>
  <si>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</si>
  <si>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</si>
  <si>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</si>
  <si>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</si>
  <si>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</si>
  <si>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</si>
  <si>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</si>
  <si>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</si>
  <si>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</si>
  <si>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</si>
  <si>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</si>
  <si>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</si>
  <si>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</si>
  <si>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</si>
  <si>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</si>
  <si>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</si>
  <si>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</si>
  <si>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</si>
  <si>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</si>
  <si>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</si>
  <si>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</si>
  <si>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</si>
  <si>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</si>
  <si>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</si>
  <si>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</si>
  <si>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</si>
  <si>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</si>
  <si>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</si>
  <si>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</si>
  <si>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</si>
  <si>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</si>
  <si>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</si>
  <si>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</si>
  <si>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</si>
  <si>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</si>
  <si>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</si>
  <si>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</si>
  <si>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</si>
  <si>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</si>
  <si>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</si>
  <si>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</si>
  <si>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</si>
  <si>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</si>
  <si>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</si>
  <si>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</si>
  <si>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</si>
  <si>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</si>
  <si>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</si>
  <si>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</si>
  <si>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</si>
  <si>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</si>
  <si>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</si>
  <si>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</si>
  <si>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</si>
  <si>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</si>
  <si>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</si>
  <si>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</si>
  <si>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</si>
  <si>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</si>
  <si>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</si>
  <si>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</si>
  <si>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</si>
  <si>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</si>
  <si>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</si>
  <si>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</si>
  <si>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</si>
  <si>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</si>
  <si>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</si>
  <si>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</si>
  <si>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</si>
  <si>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</si>
  <si>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</si>
  <si>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</si>
  <si>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</si>
  <si>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</si>
  <si>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</si>
  <si>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</si>
  <si>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</si>
  <si>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</si>
  <si>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</si>
  <si>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</si>
  <si>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</si>
  <si>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</si>
  <si>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</si>
  <si>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</si>
  <si>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</si>
  <si>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</si>
  <si>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</si>
  <si>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</si>
  <si>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</si>
  <si>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</si>
  <si>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</si>
  <si>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</si>
  <si>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</si>
  <si>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</si>
  <si>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</si>
  <si>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</si>
  <si>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</si>
  <si>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</si>
  <si>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</si>
  <si>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</si>
  <si>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</si>
  <si>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</si>
  <si>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</si>
  <si>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</si>
  <si>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</si>
  <si>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</si>
  <si>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</si>
  <si>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</si>
  <si>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</si>
  <si>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</si>
  <si>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</si>
  <si>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</si>
  <si>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</si>
  <si>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</si>
  <si>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</si>
  <si>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</si>
  <si>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</si>
  <si>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</si>
  <si>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</si>
  <si>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</si>
  <si>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</si>
  <si>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</si>
  <si>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</si>
  <si>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</si>
  <si>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</si>
  <si>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</si>
  <si>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</si>
  <si>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</si>
  <si>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</si>
  <si>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</si>
  <si>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</si>
  <si>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</si>
  <si>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</si>
  <si>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</si>
  <si>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</si>
  <si>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</si>
  <si>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</si>
  <si>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</si>
  <si>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</si>
  <si>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</si>
  <si>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</si>
  <si>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</si>
  <si>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</si>
  <si>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</si>
  <si>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</si>
  <si>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</si>
  <si>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</si>
  <si>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</si>
  <si>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</si>
  <si>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</si>
  <si>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</si>
  <si>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</si>
  <si>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</si>
  <si>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</si>
  <si>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</si>
  <si>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</si>
  <si>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</si>
  <si>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</si>
  <si>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</si>
  <si>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</si>
  <si>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</si>
  <si>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</si>
  <si>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</si>
  <si>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</si>
  <si>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</si>
  <si>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</si>
  <si>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</si>
  <si>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</si>
  <si>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</si>
  <si>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</si>
  <si>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</si>
  <si>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</si>
  <si>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</si>
  <si>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</si>
  <si>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</si>
  <si>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</si>
  <si>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</si>
  <si>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</si>
  <si>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</si>
  <si>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</si>
  <si>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</si>
  <si>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</si>
  <si>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</si>
  <si>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</si>
  <si>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</si>
  <si>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</si>
  <si>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</si>
  <si>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</si>
  <si>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</si>
  <si>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</si>
  <si>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</si>
  <si>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</si>
  <si>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</si>
  <si>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</si>
  <si>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</si>
  <si>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</si>
  <si>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</si>
  <si>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</si>
  <si>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</si>
  <si>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</si>
  <si>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</si>
  <si>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</si>
  <si>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</si>
  <si>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</si>
  <si>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</si>
  <si>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</si>
  <si>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</si>
  <si>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</si>
  <si>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</si>
  <si>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</si>
  <si>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</si>
  <si>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</si>
  <si>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</si>
  <si>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</si>
  <si>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</si>
  <si>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</si>
  <si>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</si>
  <si>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</si>
  <si>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</si>
  <si>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</si>
  <si>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</si>
  <si>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</si>
  <si>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</si>
  <si>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</si>
  <si>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</si>
  <si>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</si>
  <si>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</si>
  <si>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</si>
  <si>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</si>
  <si>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</si>
  <si>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</si>
  <si>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</si>
  <si>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</si>
  <si>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</si>
  <si>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</si>
  <si>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</si>
  <si>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</si>
  <si>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</si>
  <si>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</si>
  <si>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</si>
  <si>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</si>
  <si>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</si>
  <si>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</si>
  <si>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</si>
  <si>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</si>
  <si>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</si>
  <si>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</si>
  <si>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</si>
  <si>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</si>
  <si>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</si>
  <si>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</si>
  <si>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</si>
  <si>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</si>
  <si>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</si>
  <si>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</si>
  <si>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</si>
  <si>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</si>
  <si>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</si>
  <si>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</si>
  <si>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</si>
  <si>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</si>
  <si>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</si>
  <si>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</si>
  <si>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</si>
  <si>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</si>
  <si>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</si>
  <si>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</si>
  <si>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</si>
  <si>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</si>
  <si>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</si>
  <si>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</si>
  <si>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</si>
  <si>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</si>
  <si>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</si>
  <si>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</si>
  <si>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</si>
  <si>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</si>
  <si>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</si>
  <si>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</si>
  <si>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</si>
  <si>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</si>
  <si>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</si>
  <si>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</si>
  <si>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</si>
  <si>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</si>
  <si>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</si>
  <si>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</si>
  <si>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</si>
  <si>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</si>
  <si>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</si>
  <si>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</si>
  <si>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</si>
  <si>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</si>
  <si>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</si>
  <si>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</si>
  <si>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</si>
  <si>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</si>
  <si>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</si>
  <si>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</si>
  <si>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</si>
  <si>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</si>
  <si>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</si>
  <si>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</si>
  <si>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</si>
  <si>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</si>
  <si>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</si>
  <si>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</si>
  <si>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</si>
  <si>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</si>
  <si>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</si>
  <si>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</si>
  <si>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</si>
  <si>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</si>
  <si>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</si>
  <si>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</si>
  <si>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</si>
  <si>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</si>
  <si>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</si>
  <si>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</si>
  <si>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</si>
  <si>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</si>
  <si>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</si>
  <si>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</si>
  <si>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</si>
  <si>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</si>
  <si>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</si>
  <si>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</si>
  <si>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</si>
  <si>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</si>
  <si>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</si>
  <si>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</si>
  <si>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</si>
  <si>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</si>
  <si>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</si>
  <si>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</si>
  <si>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</si>
  <si>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</si>
  <si>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</si>
  <si>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</si>
  <si>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</si>
  <si>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</si>
  <si>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</si>
  <si>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</si>
  <si>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</si>
  <si>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</si>
  <si>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</si>
  <si>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</si>
  <si>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</si>
  <si>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</si>
  <si>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</si>
  <si>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</si>
  <si>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</si>
  <si>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</si>
  <si>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</si>
  <si>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</si>
  <si>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</si>
  <si>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</si>
  <si>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</si>
  <si>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</si>
  <si>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</si>
  <si>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</si>
  <si>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</si>
  <si>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</si>
  <si>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</si>
  <si>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</si>
  <si>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</si>
  <si>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</si>
  <si>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</si>
  <si>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</si>
  <si>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</si>
  <si>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</si>
  <si>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</si>
  <si>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</si>
  <si>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</si>
  <si>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</si>
  <si>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</si>
  <si>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</si>
  <si>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</si>
  <si>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</si>
  <si>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</si>
  <si>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</si>
  <si>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</si>
  <si>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</si>
  <si>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</si>
  <si>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</si>
  <si>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</si>
  <si>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</si>
  <si>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</si>
  <si>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</si>
  <si>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</si>
  <si>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</si>
  <si>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</si>
  <si>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</si>
  <si>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</si>
  <si>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</si>
  <si>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</si>
  <si>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</si>
  <si>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</si>
  <si>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</si>
  <si>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</si>
  <si>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</si>
  <si>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</si>
  <si>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</si>
  <si>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</si>
  <si>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</si>
  <si>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</si>
  <si>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</si>
  <si>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</si>
  <si>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</si>
  <si>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</si>
  <si>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</si>
  <si>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</si>
  <si>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</si>
  <si>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</si>
  <si>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</si>
  <si>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</si>
  <si>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</si>
  <si>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</si>
  <si>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</si>
  <si>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</si>
  <si>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</si>
  <si>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</si>
  <si>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</si>
  <si>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</si>
  <si>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</si>
  <si>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</si>
  <si>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</si>
  <si>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</si>
  <si>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</si>
  <si>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</si>
  <si>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</si>
  <si>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</si>
  <si>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</si>
  <si>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</si>
  <si>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</si>
  <si>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</si>
  <si>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</si>
  <si>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</si>
  <si>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</si>
  <si>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</si>
  <si>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</si>
  <si>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</si>
  <si>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</si>
  <si>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</si>
  <si>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</si>
  <si>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</si>
  <si>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</si>
  <si>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</si>
  <si>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</si>
  <si>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</si>
  <si>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</si>
  <si>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</si>
  <si>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</si>
  <si>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</si>
  <si>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</si>
  <si>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</si>
  <si>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</si>
  <si>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</si>
  <si>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</si>
  <si>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</si>
  <si>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</si>
  <si>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</si>
  <si>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</si>
  <si>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</si>
  <si>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</si>
  <si>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</si>
  <si>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</si>
  <si>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</si>
  <si>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</si>
  <si>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</si>
  <si>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</si>
  <si>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</si>
  <si>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</si>
  <si>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</si>
  <si>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</si>
  <si>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</si>
  <si>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</si>
  <si>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</si>
  <si>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</si>
  <si>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</si>
  <si>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</si>
  <si>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</si>
  <si>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</si>
  <si>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</si>
  <si>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</si>
  <si>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</si>
  <si>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</si>
  <si>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</si>
  <si>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</si>
  <si>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</si>
  <si>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</si>
  <si>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</si>
  <si>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</si>
  <si>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</si>
  <si>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</si>
  <si>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</si>
  <si>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</si>
  <si>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</si>
  <si>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</si>
  <si>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</si>
  <si>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</si>
  <si>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</si>
  <si>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</si>
  <si>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</si>
  <si>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</si>
  <si>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</si>
  <si>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</si>
  <si>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</si>
  <si>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</si>
  <si>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</si>
  <si>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</si>
  <si>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</si>
  <si>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</si>
  <si>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</si>
  <si>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</si>
  <si>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</si>
  <si>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</si>
  <si>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</si>
  <si>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</si>
  <si>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</si>
  <si>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</si>
  <si>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</si>
  <si>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</si>
  <si>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</si>
  <si>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</si>
  <si>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</si>
  <si>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</si>
  <si>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</si>
  <si>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</si>
  <si>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</si>
  <si>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</si>
  <si>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</si>
  <si>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</si>
  <si>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</si>
  <si>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</si>
  <si>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</si>
  <si>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</si>
  <si>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</si>
  <si>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</si>
  <si>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</si>
  <si>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</si>
  <si>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</si>
  <si>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</si>
  <si>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</si>
  <si>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</si>
  <si>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</si>
  <si>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</si>
  <si>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</si>
  <si>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</si>
  <si>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</si>
  <si>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</si>
  <si>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</si>
  <si>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</si>
  <si>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</si>
  <si>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</si>
  <si>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</si>
  <si>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</si>
  <si>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</si>
  <si>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</si>
  <si>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</si>
  <si>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</si>
  <si>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</si>
  <si>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</si>
  <si>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</si>
  <si>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</si>
  <si>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</si>
  <si>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</si>
  <si>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</si>
  <si>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</si>
  <si>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</si>
  <si>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</si>
  <si>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</si>
  <si>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</si>
  <si>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</si>
  <si>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</si>
  <si>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</si>
  <si>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</si>
  <si>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</si>
  <si>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</si>
  <si>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</si>
  <si>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</si>
  <si>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</si>
  <si>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</si>
  <si>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</si>
  <si>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</si>
  <si>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</si>
  <si>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</si>
  <si>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</si>
  <si>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</si>
  <si>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</si>
  <si>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</si>
  <si>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</si>
  <si>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</si>
  <si>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</si>
  <si>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</si>
  <si>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</si>
  <si>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</si>
  <si>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</si>
  <si>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</si>
  <si>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</si>
  <si>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</si>
  <si>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</si>
  <si>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</si>
  <si>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</si>
  <si>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</si>
  <si>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</si>
  <si>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</si>
  <si>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</si>
  <si>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</si>
  <si>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</si>
  <si>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</si>
  <si>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</si>
  <si>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</si>
  <si>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</si>
  <si>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</si>
  <si>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</si>
  <si>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</si>
  <si>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</si>
  <si>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</si>
  <si>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</si>
  <si>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</si>
  <si>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</si>
  <si>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</si>
  <si>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</si>
  <si>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</si>
  <si>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</si>
  <si>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</si>
  <si>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</si>
  <si>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</si>
  <si>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</si>
  <si>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</si>
  <si>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</si>
  <si>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</si>
  <si>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</si>
  <si>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</si>
  <si>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</si>
  <si>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</si>
  <si>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</si>
  <si>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</si>
  <si>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</si>
  <si>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</si>
  <si>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</si>
  <si>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</si>
  <si>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</si>
  <si>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</si>
  <si>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</si>
  <si>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</si>
  <si>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</si>
  <si>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</si>
  <si>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</si>
  <si>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</si>
  <si>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</si>
  <si>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</si>
  <si>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</si>
  <si>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</si>
  <si>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</si>
  <si>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</si>
  <si>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</si>
  <si>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</si>
  <si>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</si>
  <si>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</si>
  <si>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</si>
  <si>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</si>
  <si>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</si>
  <si>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</si>
  <si>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</si>
  <si>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</si>
  <si>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</si>
  <si>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</si>
  <si>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</si>
  <si>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</si>
  <si>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</si>
  <si>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</si>
  <si>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</si>
  <si>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</si>
  <si>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</si>
  <si>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</si>
  <si>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</si>
  <si>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</si>
  <si>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</si>
  <si>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</si>
  <si>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</si>
  <si>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</si>
  <si>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</si>
  <si>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</si>
  <si>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</si>
  <si>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</si>
  <si>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</si>
  <si>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</si>
  <si>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</si>
  <si>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</si>
  <si>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</si>
  <si>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</si>
  <si>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</si>
  <si>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</si>
  <si>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</si>
  <si>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</si>
  <si>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</si>
  <si>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</si>
  <si>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</si>
  <si>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</si>
  <si>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</si>
  <si>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</si>
  <si>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</si>
  <si>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</si>
  <si>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</si>
  <si>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</si>
  <si>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</si>
  <si>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</si>
  <si>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</si>
  <si>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</si>
  <si>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</si>
  <si>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</si>
  <si>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</si>
  <si>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</si>
  <si>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</si>
  <si>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</si>
  <si>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</si>
  <si>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</si>
  <si>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</si>
  <si>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</si>
  <si>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</si>
  <si>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</si>
  <si>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</si>
  <si>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</si>
  <si>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</si>
  <si>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</si>
  <si>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</si>
  <si>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</si>
  <si>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</si>
  <si>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</si>
  <si>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</si>
  <si>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</si>
  <si>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</si>
  <si>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</si>
  <si>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</si>
  <si>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</si>
  <si>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</si>
  <si>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</si>
  <si>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</si>
  <si>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</si>
  <si>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</si>
  <si>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</si>
  <si>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</si>
  <si>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</si>
  <si>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</si>
  <si>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</si>
  <si>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</si>
  <si>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</si>
  <si>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</si>
  <si>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</si>
  <si>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</si>
  <si>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</si>
  <si>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</si>
  <si>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</si>
  <si>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</si>
  <si>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</si>
  <si>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</si>
  <si>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</si>
  <si>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</si>
  <si>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</si>
  <si>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</si>
  <si>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</si>
  <si>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</si>
  <si>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</si>
  <si>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</si>
  <si>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</si>
  <si>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</si>
  <si>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</si>
  <si>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</si>
  <si>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</si>
  <si>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</si>
  <si>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</si>
  <si>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</si>
  <si>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</si>
  <si>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</si>
  <si>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</si>
  <si>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</si>
  <si>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</si>
  <si>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</si>
  <si>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</si>
  <si>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</si>
  <si>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</si>
  <si>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</si>
  <si>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</si>
  <si>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</si>
  <si>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</si>
  <si>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</si>
  <si>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</si>
  <si>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</si>
  <si>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</si>
  <si>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</si>
  <si>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</si>
  <si>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</si>
  <si>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</si>
  <si>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</si>
  <si>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</si>
  <si>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</si>
  <si>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</si>
  <si>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</si>
  <si>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</si>
  <si>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</si>
  <si>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</si>
  <si>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</si>
  <si>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</si>
  <si>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</si>
  <si>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</si>
  <si>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</si>
  <si>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</si>
  <si>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</si>
  <si>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</si>
  <si>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</si>
  <si>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</si>
  <si>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</si>
  <si>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</si>
  <si>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</si>
  <si>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</si>
  <si>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</si>
  <si>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</si>
  <si>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</si>
  <si>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</si>
  <si>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</si>
  <si>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</si>
  <si>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</si>
  <si>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</si>
  <si>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</si>
  <si>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</si>
  <si>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</si>
  <si>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</si>
  <si>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</si>
  <si>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</si>
  <si>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</si>
  <si>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</si>
  <si>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</si>
  <si>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</si>
  <si>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</si>
  <si>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</si>
  <si>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</si>
  <si>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</si>
  <si>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</si>
  <si>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</si>
  <si>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</si>
  <si>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</si>
  <si>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</si>
  <si>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</si>
  <si>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</si>
  <si>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</si>
  <si>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</si>
  <si>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</si>
  <si>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</si>
  <si>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</si>
  <si>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</si>
  <si>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</si>
  <si>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</si>
  <si>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</si>
  <si>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</si>
  <si>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</si>
  <si>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</si>
  <si>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</si>
  <si>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</si>
  <si>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</si>
  <si>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</si>
  <si>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</si>
  <si>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</si>
  <si>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</si>
  <si>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</si>
  <si>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</si>
  <si>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</si>
  <si>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</si>
  <si>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</si>
  <si>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</si>
  <si>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</si>
  <si>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</si>
  <si>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</si>
  <si>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</si>
  <si>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</si>
  <si>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</si>
  <si>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</si>
  <si>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</si>
  <si>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</si>
  <si>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</si>
  <si>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</si>
  <si>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</si>
  <si>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</si>
  <si>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</si>
  <si>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</si>
  <si>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</si>
  <si>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</si>
  <si>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</si>
  <si>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</si>
  <si>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</si>
  <si>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</si>
  <si>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</si>
  <si>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</si>
  <si>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</si>
  <si>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</si>
  <si>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</si>
  <si>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</si>
  <si>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</si>
  <si>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</si>
  <si>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</si>
  <si>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</si>
  <si>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</si>
  <si>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</si>
  <si>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</si>
  <si>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</si>
  <si>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</si>
  <si>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</si>
  <si>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</si>
  <si>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</si>
  <si>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</si>
  <si>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</si>
  <si>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</si>
  <si>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</si>
  <si>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</si>
  <si>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</si>
  <si>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</si>
  <si>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</si>
  <si>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</si>
  <si>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</si>
  <si>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</si>
  <si>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</si>
  <si>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</si>
  <si>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</si>
  <si>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</si>
  <si>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</si>
  <si>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</si>
  <si>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</si>
  <si>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</si>
  <si>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</si>
  <si>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</si>
  <si>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</si>
  <si>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</si>
  <si>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</si>
  <si>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</si>
  <si>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</si>
  <si>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</si>
  <si>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</si>
  <si>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</si>
  <si>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</si>
  <si>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</si>
  <si>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</si>
  <si>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</si>
  <si>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</si>
  <si>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</si>
  <si>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</si>
  <si>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</si>
  <si>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</si>
  <si>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</si>
  <si>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</si>
  <si>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</si>
  <si>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</si>
  <si>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</si>
  <si>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</si>
  <si>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</si>
  <si>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</si>
  <si>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</si>
  <si>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</si>
  <si>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</si>
  <si>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</si>
  <si>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</si>
  <si>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</si>
  <si>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</si>
  <si>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</si>
  <si>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</si>
  <si>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</si>
  <si>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</si>
  <si>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</si>
  <si>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</si>
  <si>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</si>
  <si>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</si>
  <si>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</si>
  <si>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</si>
  <si>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</si>
  <si>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</si>
  <si>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</si>
  <si>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</si>
  <si>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</si>
  <si>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</si>
  <si>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</si>
  <si>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</si>
  <si>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</si>
  <si>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</si>
  <si>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</si>
  <si>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</si>
  <si>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</si>
  <si>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</si>
  <si>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</si>
  <si>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</si>
  <si>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</si>
  <si>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</si>
  <si>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</si>
  <si>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</si>
  <si>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</si>
  <si>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</si>
  <si>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</si>
  <si>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</si>
  <si>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</si>
  <si>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</si>
  <si>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</si>
  <si>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</si>
  <si>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</si>
  <si>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</si>
  <si>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</si>
  <si>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</si>
  <si>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</si>
  <si>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</si>
  <si>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</si>
  <si>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</si>
  <si>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</si>
  <si>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</si>
  <si>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</si>
  <si>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</si>
  <si>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</si>
  <si>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</si>
  <si>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</si>
  <si>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</si>
  <si>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</si>
  <si>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</si>
  <si>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</si>
  <si>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</si>
  <si>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</si>
  <si>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</si>
  <si>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</si>
  <si>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</si>
  <si>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</si>
  <si>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</si>
  <si>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</si>
  <si>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</si>
  <si>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</si>
  <si>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</si>
  <si>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</si>
  <si>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</si>
  <si>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</si>
  <si>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</si>
  <si>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</si>
  <si>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</si>
  <si>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</si>
  <si>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</si>
  <si>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</si>
  <si>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</si>
  <si>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</si>
  <si>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</si>
  <si>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</si>
  <si>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</si>
  <si>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</si>
  <si>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</si>
  <si>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</si>
  <si>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</si>
  <si>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</si>
  <si>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</si>
  <si>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</si>
  <si>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</si>
  <si>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</si>
  <si>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</si>
  <si>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</si>
  <si>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</si>
  <si>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</si>
  <si>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</si>
  <si>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</si>
  <si>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</si>
  <si>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</si>
  <si>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</si>
  <si>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</si>
  <si>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</si>
  <si>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</si>
  <si>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</si>
  <si>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</si>
  <si>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</si>
  <si>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</si>
  <si>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</si>
  <si>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</si>
  <si>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</si>
  <si>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</si>
  <si>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</si>
  <si>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</si>
  <si>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</si>
  <si>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</si>
  <si>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</si>
  <si>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</si>
  <si>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</si>
  <si>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</si>
  <si>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</si>
  <si>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</si>
  <si>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</si>
  <si>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</si>
  <si>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</si>
  <si>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</si>
  <si>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</si>
  <si>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</si>
  <si>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</si>
  <si>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</si>
  <si>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</si>
  <si>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</si>
  <si>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</si>
  <si>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</si>
  <si>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</si>
  <si>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</si>
  <si>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</si>
  <si>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</si>
  <si>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</si>
  <si>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</si>
  <si>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</si>
  <si>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</si>
  <si>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</si>
  <si>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</si>
  <si>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</si>
  <si>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</si>
  <si>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</si>
  <si>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</si>
  <si>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</si>
  <si>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</si>
  <si>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</si>
  <si>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</si>
  <si>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</si>
  <si>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</si>
  <si>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</si>
  <si>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</si>
  <si>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</si>
  <si>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</si>
  <si>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</si>
  <si>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</si>
  <si>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</si>
  <si>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</si>
  <si>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</si>
  <si>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</si>
  <si>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</si>
  <si>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</si>
  <si>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</si>
  <si>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</si>
  <si>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</si>
  <si>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</si>
  <si>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</si>
  <si>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</si>
  <si>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</si>
  <si>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</si>
  <si>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</si>
  <si>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</si>
  <si>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</si>
  <si>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</si>
  <si>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</si>
  <si>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</si>
  <si>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</si>
  <si>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</si>
  <si>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</si>
  <si>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</si>
  <si>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</si>
  <si>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</si>
  <si>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</si>
  <si>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</si>
  <si>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</si>
  <si>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</si>
  <si>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</si>
  <si>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</si>
  <si>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</si>
  <si>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</si>
  <si>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</si>
  <si>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</si>
  <si>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</si>
  <si>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</si>
  <si>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</si>
  <si>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</si>
  <si>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</si>
  <si>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</si>
  <si>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</si>
  <si>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</si>
  <si>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</si>
  <si>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</si>
  <si>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</si>
  <si>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</si>
  <si>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</si>
  <si>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</si>
  <si>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</si>
  <si>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</si>
  <si>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</si>
  <si>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</si>
  <si>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</si>
  <si>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</si>
  <si>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</si>
  <si>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</si>
  <si>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</si>
  <si>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</si>
  <si>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</si>
  <si>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</si>
  <si>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</si>
  <si>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</si>
  <si>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</si>
  <si>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</si>
  <si>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</si>
  <si>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</si>
  <si>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</si>
  <si>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</si>
  <si>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</si>
  <si>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</si>
  <si>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</si>
  <si>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</si>
  <si>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</si>
  <si>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</si>
  <si>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</si>
  <si>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</si>
  <si>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</si>
  <si>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</si>
  <si>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</si>
  <si>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</si>
  <si>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</si>
  <si>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</si>
  <si>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</si>
  <si>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</si>
  <si>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</si>
  <si>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</si>
  <si>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</si>
  <si>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</si>
  <si>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</si>
  <si>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</si>
  <si>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</si>
  <si>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</si>
  <si>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</si>
  <si>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</si>
  <si>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</si>
  <si>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</si>
  <si>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</si>
  <si>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</si>
  <si>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</si>
  <si>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</si>
  <si>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</si>
  <si>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</si>
  <si>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</si>
  <si>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</si>
  <si>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</si>
  <si>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</si>
  <si>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</si>
  <si>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</si>
  <si>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</si>
  <si>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</si>
  <si>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</si>
  <si>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</si>
  <si>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</si>
  <si>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</si>
  <si>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</si>
  <si>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</si>
  <si>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</si>
  <si>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</si>
  <si>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</si>
  <si>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</si>
  <si>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</si>
  <si>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</si>
  <si>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</si>
  <si>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</si>
  <si>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</si>
  <si>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</si>
  <si>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</si>
  <si>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</si>
  <si>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</si>
  <si>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</si>
  <si>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</si>
  <si>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</si>
  <si>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</si>
  <si>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</si>
  <si>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</si>
  <si>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</si>
  <si>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</si>
  <si>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</si>
  <si>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</si>
  <si>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</si>
  <si>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</si>
  <si>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</si>
  <si>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</si>
  <si>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</si>
  <si>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</si>
  <si>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</si>
  <si>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</si>
  <si>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</si>
  <si>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</si>
  <si>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</si>
  <si>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</si>
  <si>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</si>
  <si>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</si>
  <si>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</si>
  <si>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</si>
  <si>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</si>
  <si>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</si>
  <si>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</si>
  <si>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</si>
  <si>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</si>
  <si>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</si>
  <si>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</si>
  <si>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</si>
  <si>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</si>
  <si>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</si>
  <si>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</si>
  <si>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</si>
  <si>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</si>
  <si>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</si>
  <si>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</si>
  <si>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</si>
  <si>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</si>
  <si>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</si>
  <si>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</si>
  <si>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</si>
  <si>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</si>
  <si>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</si>
  <si>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</si>
  <si>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</si>
  <si>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</si>
  <si>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</si>
  <si>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</si>
  <si>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</si>
  <si>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</si>
  <si>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</si>
  <si>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</si>
  <si>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</si>
  <si>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</si>
  <si>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</si>
  <si>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</si>
  <si>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</si>
  <si>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</si>
  <si>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</si>
  <si>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</si>
  <si>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</si>
  <si>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</si>
  <si>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</si>
  <si>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</si>
  <si>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</si>
  <si>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</si>
  <si>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</si>
  <si>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</si>
  <si>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</si>
  <si>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</si>
  <si>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</si>
  <si>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</si>
  <si>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</si>
  <si>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</si>
  <si>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</si>
  <si>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</si>
  <si>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</si>
  <si>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</si>
  <si>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</si>
  <si>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</si>
  <si>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</si>
  <si>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</si>
  <si>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</si>
  <si>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</si>
  <si>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</si>
  <si>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</si>
  <si>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</si>
  <si>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</si>
  <si>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</si>
  <si>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</si>
  <si>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</si>
  <si>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</si>
  <si>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</si>
  <si>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</si>
  <si>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</si>
  <si>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</si>
  <si>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</si>
  <si>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</si>
  <si>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</si>
  <si>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</si>
  <si>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</si>
  <si>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</si>
  <si>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</si>
  <si>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</si>
  <si>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</si>
  <si>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</si>
  <si>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</si>
  <si>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</si>
  <si>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</si>
  <si>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</si>
  <si>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</si>
  <si>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</si>
  <si>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</si>
  <si>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</si>
  <si>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</si>
  <si>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</si>
  <si>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</si>
  <si>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</si>
  <si>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</si>
  <si>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</si>
  <si>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</si>
  <si>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</si>
  <si>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</si>
  <si>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</si>
  <si>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</si>
  <si>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</si>
  <si>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</si>
  <si>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</si>
  <si>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</si>
  <si>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</si>
  <si>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</si>
  <si>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</si>
  <si>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</si>
  <si>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</si>
  <si>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</si>
  <si>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</si>
  <si>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</si>
  <si>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</si>
  <si>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</si>
  <si>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</si>
  <si>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</si>
  <si>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</si>
  <si>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</si>
  <si>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</si>
  <si>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</si>
  <si>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</si>
  <si>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</si>
  <si>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</si>
  <si>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</si>
  <si>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</si>
  <si>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</si>
  <si>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</si>
  <si>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</si>
  <si>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</si>
  <si>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</si>
  <si>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</si>
  <si>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</si>
  <si>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</si>
  <si>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</si>
  <si>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</si>
  <si>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</si>
  <si>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</si>
  <si>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</si>
  <si>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</si>
  <si>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</si>
  <si>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</si>
  <si>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</si>
  <si>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</si>
  <si>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</si>
  <si>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</si>
  <si>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</si>
  <si>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</si>
  <si>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</si>
  <si>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</si>
  <si>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</si>
  <si>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</si>
  <si>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</si>
  <si>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</si>
  <si>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</si>
  <si>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</si>
  <si>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</si>
  <si>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</si>
  <si>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</si>
  <si>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</si>
  <si>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</si>
  <si>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</si>
  <si>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</si>
  <si>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</si>
  <si>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</si>
  <si>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</si>
  <si>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</si>
  <si>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</si>
  <si>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</si>
  <si>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</si>
  <si>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</si>
  <si>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</si>
  <si>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</si>
  <si>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</si>
  <si>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</si>
  <si>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</si>
  <si>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</si>
  <si>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</si>
  <si>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</si>
  <si>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</si>
  <si>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</si>
  <si>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</si>
  <si>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</si>
  <si>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</si>
  <si>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</si>
  <si>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</si>
  <si>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</si>
  <si>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</si>
  <si>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</si>
  <si>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</si>
  <si>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</si>
  <si>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</si>
  <si>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</si>
  <si>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</si>
  <si>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</si>
  <si>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</si>
  <si>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</si>
  <si>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</si>
  <si>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</si>
  <si>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</si>
  <si>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</si>
  <si>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</si>
  <si>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</si>
  <si>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</si>
  <si>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</si>
  <si>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</si>
  <si>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</si>
  <si>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</si>
  <si>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</si>
  <si>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</si>
  <si>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</si>
  <si>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</si>
  <si>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</si>
  <si>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</si>
  <si>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</si>
  <si>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</si>
  <si>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</si>
  <si>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</si>
  <si>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</si>
  <si>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</si>
  <si>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</si>
  <si>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</si>
  <si>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</si>
  <si>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</si>
  <si>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</si>
  <si>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</si>
  <si>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</si>
  <si>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</si>
  <si>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</si>
  <si>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</si>
  <si>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</si>
  <si>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</si>
  <si>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</si>
  <si>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</si>
  <si>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</si>
  <si>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</si>
  <si>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</si>
  <si>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</si>
  <si>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</si>
  <si>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</si>
  <si>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</si>
  <si>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</si>
  <si>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</si>
  <si>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</si>
  <si>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</si>
  <si>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</si>
  <si>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</si>
  <si>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</si>
  <si>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</si>
  <si>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</si>
  <si>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</si>
  <si>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</si>
  <si>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</si>
  <si>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</si>
  <si>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</si>
  <si>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</si>
  <si>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</si>
  <si>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</si>
  <si>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</si>
  <si>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</si>
  <si>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</si>
  <si>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</si>
  <si>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</si>
  <si>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</si>
  <si>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</si>
  <si>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</si>
  <si>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</si>
  <si>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</si>
  <si>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</si>
  <si>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</si>
  <si>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</si>
  <si>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</si>
  <si>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</si>
  <si>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</si>
  <si>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</si>
  <si>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</si>
  <si>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</si>
  <si>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</si>
  <si>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</si>
  <si>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</si>
  <si>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</si>
  <si>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</si>
  <si>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</si>
  <si>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</si>
  <si>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</si>
  <si>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</si>
  <si>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</si>
  <si>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</si>
  <si>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</si>
  <si>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</si>
  <si>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</si>
  <si>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</si>
  <si>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</si>
  <si>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</si>
  <si>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</si>
  <si>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</si>
  <si>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</si>
  <si>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</si>
  <si>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</si>
  <si>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</si>
  <si>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</si>
  <si>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</si>
  <si>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</si>
  <si>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</si>
  <si>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</si>
  <si>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</si>
  <si>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</si>
  <si>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</si>
  <si>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</si>
  <si>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</si>
  <si>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</si>
  <si>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</si>
  <si>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</si>
  <si>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</si>
  <si>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</si>
  <si>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</si>
  <si>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</si>
  <si>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</si>
  <si>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</si>
  <si>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</si>
  <si>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</si>
  <si>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</si>
  <si>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</si>
  <si>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</si>
  <si>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</si>
  <si>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</si>
  <si>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</si>
  <si>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</si>
  <si>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</si>
  <si>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</si>
  <si>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</si>
  <si>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</si>
  <si>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</si>
  <si>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</si>
  <si>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</si>
  <si>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</si>
  <si>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</si>
  <si>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</si>
  <si>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</si>
  <si>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</si>
  <si>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</si>
  <si>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</si>
  <si>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</si>
  <si>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</si>
  <si>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</si>
  <si>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</si>
  <si>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</si>
  <si>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</si>
  <si>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</si>
  <si>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</si>
  <si>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</si>
  <si>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</si>
  <si>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</si>
  <si>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</si>
  <si>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</si>
  <si>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</si>
  <si>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</si>
  <si>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</si>
  <si>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</si>
  <si>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</si>
  <si>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</si>
  <si>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</si>
  <si>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</si>
  <si>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</si>
  <si>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</si>
  <si>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</si>
  <si>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</si>
  <si>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</si>
  <si>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</si>
  <si>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</si>
  <si>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</si>
  <si>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</si>
  <si>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</si>
  <si>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</si>
  <si>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</si>
  <si>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</si>
  <si>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</si>
  <si>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</si>
  <si>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</si>
  <si>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</si>
  <si>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</si>
  <si>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</si>
  <si>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</si>
  <si>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</si>
  <si>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</si>
  <si>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</si>
  <si>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</si>
  <si>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</si>
  <si>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</si>
  <si>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</si>
  <si>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</si>
  <si>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</si>
  <si>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</si>
  <si>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</si>
  <si>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</si>
  <si>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</si>
  <si>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</si>
  <si>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</si>
  <si>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</si>
  <si>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</si>
  <si>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</si>
  <si>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</si>
  <si>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</si>
  <si>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</si>
  <si>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</si>
  <si>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</si>
  <si>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</si>
  <si>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</si>
  <si>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</si>
  <si>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</si>
  <si>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</si>
  <si>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</si>
  <si>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</si>
  <si>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</si>
  <si>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</si>
  <si>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</si>
  <si>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</si>
  <si>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</si>
  <si>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</si>
  <si>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</si>
  <si>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</si>
  <si>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</si>
  <si>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</si>
  <si>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</si>
  <si>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</si>
  <si>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</si>
  <si>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</si>
  <si>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</si>
  <si>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</si>
  <si>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</si>
  <si>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</si>
  <si>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</si>
  <si>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</si>
  <si>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</si>
  <si>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</si>
  <si>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</si>
  <si>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</si>
  <si>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</si>
  <si>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</si>
  <si>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</si>
  <si>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</si>
  <si>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</si>
  <si>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</si>
  <si>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</si>
  <si>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</si>
  <si>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</si>
  <si>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</si>
  <si>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</si>
  <si>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</si>
  <si>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</si>
  <si>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</si>
  <si>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</si>
  <si>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</si>
  <si>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</si>
  <si>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</si>
  <si>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</si>
  <si>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</si>
  <si>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</si>
  <si>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</si>
  <si>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</si>
  <si>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</si>
  <si>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</si>
  <si>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</si>
  <si>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</si>
  <si>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</si>
  <si>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</si>
  <si>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</si>
  <si>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</si>
  <si>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</si>
  <si>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</si>
  <si>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</si>
  <si>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</si>
  <si>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</si>
  <si>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</si>
  <si>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</si>
  <si>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</si>
  <si>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</si>
  <si>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</si>
  <si>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</si>
  <si>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</si>
  <si>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</si>
  <si>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</si>
  <si>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</si>
  <si>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</si>
  <si>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</si>
  <si>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</si>
  <si>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</si>
  <si>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</si>
  <si>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</si>
  <si>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</si>
  <si>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</si>
  <si>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</si>
  <si>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</si>
  <si>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</si>
  <si>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</si>
  <si>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</si>
  <si>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</si>
  <si>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</si>
  <si>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</si>
  <si>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</si>
  <si>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</si>
  <si>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</si>
  <si>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</si>
  <si>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</si>
  <si>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</si>
  <si>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</si>
  <si>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</si>
  <si>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</si>
  <si>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</si>
  <si>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</si>
  <si>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</si>
  <si>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</si>
  <si>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</si>
  <si>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</si>
  <si>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</si>
  <si>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</si>
  <si>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</si>
  <si>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</si>
  <si>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</si>
  <si>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</si>
  <si>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</si>
  <si>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</si>
  <si>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</si>
  <si>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</si>
  <si>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</si>
  <si>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</si>
  <si>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</si>
  <si>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</si>
  <si>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</si>
  <si>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</si>
  <si>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</si>
  <si>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</si>
  <si>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</si>
  <si>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</si>
  <si>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</si>
  <si>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</si>
  <si>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</si>
  <si>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</si>
  <si>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</si>
  <si>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</si>
  <si>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</si>
  <si>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</si>
  <si>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</si>
  <si>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</si>
  <si>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</si>
  <si>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</si>
  <si>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</si>
  <si>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</si>
  <si>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</si>
  <si>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</si>
  <si>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</si>
  <si>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</si>
  <si>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</si>
  <si>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</si>
  <si>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</si>
  <si>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</si>
  <si>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</si>
  <si>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</si>
  <si>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</si>
  <si>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</si>
  <si>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</si>
  <si>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</si>
  <si>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</si>
  <si>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</si>
  <si>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</si>
  <si>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</si>
  <si>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</si>
  <si>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</si>
  <si>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</si>
  <si>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</si>
  <si>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</si>
  <si>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</si>
  <si>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</si>
  <si>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</si>
  <si>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</si>
  <si>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</si>
  <si>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</si>
  <si>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</si>
  <si>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</si>
  <si>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</si>
  <si>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</si>
  <si>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</si>
  <si>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</si>
  <si>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</si>
  <si>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</si>
  <si>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</si>
  <si>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</si>
  <si>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</si>
  <si>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</si>
  <si>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</si>
  <si>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</si>
  <si>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</si>
  <si>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</si>
  <si>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</si>
  <si>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</si>
  <si>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</si>
  <si>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</si>
  <si>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</si>
  <si>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</si>
  <si>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</si>
  <si>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</si>
  <si>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</si>
  <si>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</si>
  <si>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</si>
  <si>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</si>
  <si>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</si>
  <si>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</si>
  <si>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</si>
  <si>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</si>
  <si>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</si>
  <si>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</si>
  <si>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</si>
  <si>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</si>
  <si>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</si>
  <si>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</si>
  <si>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</si>
  <si>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</si>
  <si>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</si>
  <si>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</si>
  <si>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</si>
  <si>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</si>
  <si>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</si>
  <si>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</si>
  <si>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</si>
  <si>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</si>
  <si>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</si>
  <si>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</si>
  <si>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</si>
  <si>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</si>
  <si>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</si>
  <si>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</si>
  <si>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</si>
  <si>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</si>
  <si>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</si>
  <si>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</si>
  <si>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</si>
  <si>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</si>
  <si>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</si>
  <si>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</si>
  <si>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</si>
  <si>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</si>
  <si>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</si>
  <si>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</si>
  <si>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</si>
  <si>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</si>
  <si>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</si>
  <si>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</si>
  <si>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</si>
  <si>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</si>
  <si>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</si>
  <si>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</si>
  <si>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</si>
  <si>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</si>
  <si>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</si>
  <si>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</si>
  <si>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</si>
  <si>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</si>
  <si>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</si>
  <si>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</si>
  <si>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</si>
  <si>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</si>
  <si>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</si>
  <si>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</si>
  <si>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</si>
  <si>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</si>
  <si>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</si>
  <si>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</si>
  <si>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</si>
  <si>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</si>
  <si>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</si>
  <si>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</si>
  <si>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</si>
  <si>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</si>
  <si>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</si>
  <si>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</si>
  <si>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</si>
  <si>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</si>
  <si>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</si>
  <si>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</si>
  <si>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</si>
  <si>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</si>
  <si>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</si>
  <si>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</si>
  <si>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</si>
  <si>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</si>
  <si>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</si>
  <si>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</si>
  <si>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</si>
  <si>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</si>
  <si>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</si>
  <si>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</si>
  <si>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</si>
  <si>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</si>
  <si>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</si>
  <si>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</si>
  <si>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</si>
  <si>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</si>
  <si>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</si>
  <si>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</si>
  <si>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</si>
  <si>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</si>
  <si>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</si>
  <si>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</si>
  <si>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</si>
  <si>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</si>
  <si>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</si>
  <si>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</si>
  <si>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</si>
  <si>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</si>
  <si>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</si>
  <si>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</si>
  <si>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</si>
  <si>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</si>
  <si>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</si>
  <si>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</si>
  <si>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</si>
  <si>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</si>
  <si>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</si>
  <si>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</si>
  <si>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</si>
  <si>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</si>
  <si>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</si>
  <si>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</si>
  <si>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</si>
  <si>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</si>
  <si>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</si>
  <si>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</si>
  <si>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</si>
  <si>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</si>
  <si>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</si>
  <si>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</si>
  <si>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</si>
  <si>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</si>
  <si>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</si>
  <si>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</si>
  <si>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</si>
  <si>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</si>
  <si>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</si>
  <si>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</si>
  <si>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</si>
  <si>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</si>
  <si>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</si>
  <si>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</si>
  <si>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</si>
  <si>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</si>
  <si>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</si>
  <si>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</si>
  <si>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</si>
  <si>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</si>
  <si>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</si>
  <si>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</si>
  <si>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</si>
  <si>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</si>
  <si>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</si>
  <si>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</si>
  <si>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</si>
  <si>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</si>
  <si>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</si>
  <si>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</si>
  <si>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</si>
  <si>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</si>
  <si>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</si>
  <si>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</si>
  <si>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</si>
  <si>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</si>
  <si>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</si>
  <si>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</si>
  <si>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</si>
  <si>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</si>
  <si>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</si>
  <si>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</si>
  <si>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</si>
  <si>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</si>
  <si>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</si>
  <si>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</si>
  <si>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</si>
  <si>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</si>
  <si>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</si>
  <si>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</si>
  <si>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</si>
  <si>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</si>
  <si>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</si>
  <si>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</si>
  <si>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</si>
  <si>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</si>
  <si>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</si>
  <si>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</si>
  <si>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</si>
  <si>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</si>
  <si>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</si>
  <si>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</si>
  <si>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</si>
  <si>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</si>
  <si>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</si>
  <si>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</si>
  <si>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</si>
  <si>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</si>
  <si>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</si>
  <si>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</si>
  <si>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</si>
  <si>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</si>
  <si>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</si>
  <si>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</si>
  <si>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</si>
  <si>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</si>
  <si>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</si>
  <si>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</si>
  <si>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</si>
  <si>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</si>
  <si>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</si>
  <si>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</si>
  <si>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</si>
  <si>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</si>
  <si>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</si>
  <si>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</si>
  <si>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</si>
  <si>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</si>
  <si>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</si>
  <si>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</si>
  <si>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</si>
  <si>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</si>
  <si>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</si>
  <si>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</si>
  <si>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</si>
  <si>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</si>
  <si>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</si>
  <si>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</si>
  <si>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</si>
  <si>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</si>
  <si>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</si>
  <si>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</si>
  <si>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</si>
  <si>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</si>
  <si>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</si>
  <si>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</si>
  <si>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</si>
  <si>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</si>
  <si>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</si>
  <si>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</si>
  <si>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</si>
  <si>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</si>
  <si>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</si>
  <si>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</si>
  <si>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</si>
  <si>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</si>
  <si>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</si>
  <si>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</si>
  <si>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</si>
  <si>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</si>
  <si>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</si>
  <si>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</si>
  <si>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</si>
  <si>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</si>
  <si>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</si>
  <si>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</si>
  <si>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</si>
  <si>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</si>
  <si>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</si>
  <si>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</si>
  <si>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</si>
  <si>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</si>
  <si>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</si>
  <si>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</si>
  <si>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</si>
  <si>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</si>
  <si>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</si>
  <si>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</si>
  <si>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</si>
  <si>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</si>
  <si>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</si>
  <si>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</si>
  <si>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</si>
  <si>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</si>
  <si>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</si>
  <si>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</si>
  <si>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</si>
  <si>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</si>
  <si>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</si>
  <si>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</si>
  <si>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</si>
  <si>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</si>
  <si>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</si>
  <si>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</si>
  <si>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</si>
  <si>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</si>
  <si>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</si>
  <si>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</si>
  <si>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</si>
  <si>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</si>
  <si>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</si>
  <si>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</si>
  <si>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</si>
  <si>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</si>
  <si>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</si>
  <si>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</si>
  <si>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</si>
  <si>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</si>
  <si>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</si>
  <si>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</si>
  <si>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</si>
  <si>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</si>
  <si>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</si>
  <si>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</si>
  <si>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</si>
  <si>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</si>
  <si>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</si>
  <si>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</si>
  <si>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</si>
  <si>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</si>
  <si>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</si>
  <si>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</si>
  <si>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</si>
  <si>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</si>
  <si>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</si>
  <si>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</si>
  <si>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</si>
  <si>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</si>
  <si>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</si>
  <si>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</si>
  <si>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</si>
  <si>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</si>
  <si>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</si>
  <si>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</si>
  <si>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</si>
  <si>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</si>
  <si>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</si>
  <si>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</si>
  <si>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</si>
  <si>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</si>
  <si>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</si>
  <si>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</si>
  <si>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</si>
  <si>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</si>
  <si>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</si>
  <si>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</si>
  <si>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</si>
  <si>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</si>
  <si>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</si>
  <si>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</si>
  <si>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</si>
  <si>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</si>
  <si>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</si>
  <si>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</si>
  <si>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</si>
  <si>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</si>
  <si>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</si>
  <si>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</si>
  <si>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</si>
  <si>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</si>
  <si>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</si>
  <si>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</si>
  <si>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</si>
  <si>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</si>
  <si>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</si>
  <si>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</si>
  <si>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</si>
  <si>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</si>
  <si>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</si>
  <si>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</si>
  <si>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</si>
  <si>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</si>
  <si>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</si>
  <si>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</si>
  <si>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</si>
  <si>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</si>
  <si>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</si>
  <si>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</si>
  <si>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</si>
  <si>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</si>
  <si>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</si>
  <si>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</si>
  <si>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</si>
  <si>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</si>
  <si>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</si>
  <si>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</si>
  <si>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</si>
  <si>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</si>
  <si>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</si>
  <si>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</si>
  <si>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</si>
  <si>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</si>
  <si>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</si>
  <si>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</si>
  <si>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</si>
  <si>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</si>
  <si>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</si>
  <si>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</si>
  <si>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</si>
  <si>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</si>
  <si>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</si>
  <si>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</si>
  <si>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</si>
  <si>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</si>
  <si>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</si>
  <si>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</si>
  <si>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</si>
  <si>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</si>
  <si>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</si>
  <si>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</si>
  <si>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</si>
  <si>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</si>
  <si>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</si>
  <si>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</si>
  <si>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</si>
  <si>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</si>
  <si>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</si>
  <si>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</si>
  <si>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</si>
  <si>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</si>
  <si>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</si>
  <si>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</si>
  <si>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</si>
  <si>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</si>
  <si>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</si>
  <si>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</si>
  <si>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</si>
  <si>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</si>
  <si>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</si>
  <si>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</si>
  <si>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</si>
  <si>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</si>
  <si>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</si>
  <si>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</si>
  <si>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</si>
  <si>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</si>
  <si>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</si>
  <si>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</si>
  <si>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</si>
  <si>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</si>
  <si>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</si>
  <si>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</si>
  <si>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</si>
  <si>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</si>
  <si>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</si>
  <si>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</si>
  <si>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</si>
  <si>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</si>
  <si>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</si>
  <si>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</si>
  <si>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</si>
  <si>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</si>
  <si>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</si>
  <si>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</si>
  <si>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</si>
  <si>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</si>
  <si>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</si>
  <si>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</si>
  <si>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</si>
  <si>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</si>
  <si>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</si>
  <si>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</si>
  <si>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</si>
  <si>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</si>
  <si>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</si>
  <si>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</si>
  <si>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</si>
  <si>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</si>
  <si>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</si>
  <si>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</si>
  <si>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</si>
  <si>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</si>
  <si>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</si>
  <si>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</si>
  <si>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</si>
  <si>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</si>
  <si>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</si>
  <si>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</si>
  <si>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</si>
  <si>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</si>
  <si>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</si>
  <si>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</si>
  <si>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</si>
  <si>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</si>
  <si>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</si>
  <si>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</si>
  <si>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</si>
  <si>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</si>
  <si>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</si>
  <si>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</si>
  <si>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</si>
  <si>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</si>
  <si>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</si>
  <si>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</si>
  <si>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</si>
  <si>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</si>
  <si>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</si>
  <si>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</si>
  <si>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</si>
  <si>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</si>
  <si>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</si>
  <si>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</si>
  <si>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</si>
  <si>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</si>
  <si>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</si>
  <si>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</si>
  <si>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</si>
  <si>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</si>
  <si>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</si>
  <si>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</si>
  <si>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</si>
  <si>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</si>
  <si>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</si>
  <si>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</si>
  <si>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</si>
  <si>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</si>
  <si>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</si>
  <si>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</si>
  <si>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</si>
  <si>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</si>
  <si>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</si>
  <si>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</si>
  <si>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</si>
  <si>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</si>
  <si>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</si>
  <si>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</si>
  <si>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</si>
  <si>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</si>
  <si>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</si>
  <si>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</si>
  <si>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</si>
  <si>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</si>
  <si>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</si>
  <si>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</si>
  <si>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</si>
  <si>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</si>
  <si>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</si>
  <si>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</si>
  <si>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</si>
  <si>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</si>
  <si>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</si>
  <si>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</si>
  <si>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</si>
  <si>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</si>
  <si>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</si>
  <si>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</si>
  <si>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</si>
  <si>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</si>
  <si>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</si>
  <si>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</si>
  <si>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</si>
  <si>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</si>
  <si>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</si>
  <si>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</si>
  <si>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</si>
  <si>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</si>
  <si>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</si>
  <si>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</si>
  <si>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</si>
  <si>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</si>
  <si>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</si>
  <si>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</si>
  <si>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</si>
  <si>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</si>
  <si>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</si>
  <si>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</si>
  <si>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</si>
  <si>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</si>
  <si>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</si>
  <si>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</si>
  <si>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</si>
  <si>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</si>
  <si>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</si>
  <si>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</si>
  <si>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</si>
  <si>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</si>
  <si>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</si>
  <si>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</si>
  <si>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</si>
  <si>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</si>
  <si>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</si>
  <si>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</si>
  <si>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</si>
  <si>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</si>
  <si>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</si>
  <si>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</si>
  <si>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</si>
  <si>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</si>
  <si>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</si>
  <si>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</si>
  <si>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</si>
  <si>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</si>
  <si>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</si>
  <si>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</si>
  <si>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</si>
  <si>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</si>
  <si>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</si>
  <si>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</si>
  <si>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</si>
  <si>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</si>
  <si>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</si>
  <si>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</si>
  <si>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</si>
  <si>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</si>
  <si>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</si>
  <si>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</si>
  <si>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</si>
  <si>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</si>
  <si>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</si>
  <si>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</si>
  <si>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</si>
  <si>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</si>
  <si>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</si>
  <si>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</si>
  <si>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</si>
  <si>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</si>
  <si>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</si>
  <si>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</si>
  <si>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</si>
  <si>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</si>
  <si>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</si>
  <si>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</si>
  <si>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</si>
  <si>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</si>
  <si>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</si>
  <si>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</si>
  <si>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</si>
  <si>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</si>
  <si>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</si>
  <si>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</si>
  <si>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</si>
  <si>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</si>
  <si>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</si>
  <si>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</si>
  <si>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</si>
  <si>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</si>
  <si>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</si>
  <si>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</si>
  <si>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</si>
  <si>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</si>
  <si>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</si>
  <si>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</si>
  <si>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</si>
  <si>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</si>
  <si>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</si>
  <si>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</si>
  <si>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</si>
  <si>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</si>
  <si>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</si>
  <si>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</si>
  <si>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</si>
  <si>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</si>
  <si>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</si>
  <si>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</si>
  <si>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</si>
  <si>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</si>
  <si>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</si>
  <si>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</si>
  <si>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</si>
  <si>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</si>
  <si>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</si>
  <si>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</si>
  <si>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</si>
  <si>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</si>
  <si>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</si>
  <si>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</si>
  <si>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</si>
  <si>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</si>
  <si>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</si>
  <si>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</si>
  <si>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</si>
  <si>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</si>
  <si>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</si>
  <si>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</si>
  <si>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</si>
  <si>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</si>
  <si>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</si>
  <si>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</si>
  <si>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</si>
  <si>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</si>
  <si>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</si>
  <si>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</si>
  <si>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</si>
  <si>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</si>
  <si>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</si>
  <si>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</si>
  <si>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</si>
  <si>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</si>
  <si>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</si>
  <si>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</si>
  <si>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</si>
  <si>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</si>
  <si>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</si>
  <si>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</si>
  <si>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</si>
  <si>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</si>
  <si>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</si>
  <si>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</si>
  <si>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</si>
  <si>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</si>
  <si>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</si>
  <si>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</si>
  <si>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</si>
  <si>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</si>
  <si>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</si>
  <si>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</si>
  <si>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</si>
  <si>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</si>
  <si>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</si>
  <si>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</si>
  <si>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</si>
  <si>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</si>
  <si>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</si>
  <si>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</si>
  <si>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</si>
  <si>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</si>
  <si>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</si>
  <si>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</si>
  <si>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</si>
  <si>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</si>
  <si>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</si>
  <si>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</si>
  <si>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</si>
  <si>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</si>
  <si>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</si>
  <si>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</si>
  <si>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</si>
  <si>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</si>
  <si>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</si>
  <si>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</si>
  <si>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</si>
  <si>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</si>
  <si>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</si>
  <si>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</si>
  <si>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</si>
  <si>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</si>
  <si>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</si>
  <si>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</si>
  <si>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</si>
  <si>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</si>
  <si>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</si>
  <si>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</si>
  <si>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</si>
  <si>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</si>
  <si>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</si>
  <si>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</si>
  <si>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</si>
  <si>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</si>
  <si>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</si>
  <si>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</si>
  <si>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</si>
  <si>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</si>
  <si>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</si>
  <si>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</si>
  <si>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</si>
  <si>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</si>
  <si>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</si>
  <si>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</si>
  <si>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</si>
  <si>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</si>
  <si>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</si>
  <si>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</si>
  <si>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</si>
  <si>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</si>
  <si>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</si>
  <si>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</si>
  <si>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</si>
  <si>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</si>
  <si>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</si>
  <si>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</si>
  <si>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</si>
  <si>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</si>
  <si>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</si>
  <si>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</si>
  <si>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</si>
  <si>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</si>
  <si>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</si>
  <si>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</si>
  <si>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</si>
  <si>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</si>
  <si>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</si>
  <si>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</si>
  <si>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</si>
  <si>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</si>
  <si>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</si>
  <si>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</si>
  <si>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</si>
  <si>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</si>
  <si>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</si>
  <si>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</si>
  <si>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</si>
  <si>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</si>
  <si>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</si>
  <si>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</si>
  <si>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</si>
  <si>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</si>
  <si>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</si>
  <si>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</si>
  <si>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</si>
  <si>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</si>
  <si>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</si>
  <si>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</si>
  <si>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</si>
  <si>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</si>
  <si>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</si>
  <si>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</si>
  <si>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</si>
  <si>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</si>
  <si>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</si>
  <si>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</si>
  <si>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</si>
  <si>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</si>
  <si>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</si>
  <si>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</si>
  <si>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</si>
  <si>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</si>
  <si>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</si>
  <si>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</si>
  <si>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</si>
  <si>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</si>
  <si>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</si>
  <si>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</si>
  <si>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</si>
  <si>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</si>
  <si>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</si>
  <si>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</si>
  <si>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</si>
  <si>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</si>
  <si>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</si>
  <si>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</si>
  <si>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</si>
  <si>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</si>
  <si>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</si>
  <si>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</si>
  <si>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</si>
  <si>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</si>
  <si>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</si>
  <si>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</si>
  <si>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</si>
  <si>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</si>
  <si>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</si>
  <si>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</si>
  <si>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</si>
  <si>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</si>
  <si>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</si>
  <si>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</si>
  <si>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</si>
  <si>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</si>
  <si>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</si>
  <si>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</si>
  <si>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</si>
  <si>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</si>
  <si>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</si>
  <si>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</si>
  <si>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</si>
  <si>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</si>
  <si>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</si>
  <si>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</si>
  <si>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</si>
  <si>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</si>
  <si>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</si>
  <si>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</si>
  <si>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</si>
  <si>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</si>
  <si>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</si>
  <si>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</si>
  <si>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</si>
  <si>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</si>
  <si>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</si>
  <si>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</si>
  <si>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</si>
  <si>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</si>
  <si>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</si>
  <si>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</si>
  <si>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</si>
  <si>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</si>
  <si>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</si>
  <si>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</si>
  <si>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</si>
  <si>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</si>
  <si>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</si>
  <si>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</si>
  <si>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</si>
  <si>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</si>
  <si>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</si>
  <si>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</si>
  <si>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</si>
  <si>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</si>
  <si>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</si>
  <si>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</si>
  <si>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</si>
  <si>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</si>
  <si>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</si>
  <si>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</si>
  <si>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</si>
  <si>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</si>
  <si>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</si>
  <si>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</si>
  <si>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</si>
  <si>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</si>
  <si>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</si>
  <si>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</si>
  <si>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</si>
  <si>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</si>
  <si>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</si>
  <si>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</si>
  <si>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</si>
  <si>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</si>
  <si>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</si>
  <si>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</si>
  <si>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</si>
  <si>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</si>
  <si>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</si>
  <si>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</si>
  <si>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</si>
  <si>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</si>
  <si>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</si>
  <si>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</si>
  <si>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</si>
  <si>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</si>
  <si>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</si>
  <si>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</si>
  <si>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</si>
  <si>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</si>
  <si>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</si>
  <si>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</si>
  <si>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</si>
  <si>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</si>
  <si>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</si>
  <si>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</si>
  <si>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</si>
  <si>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</si>
  <si>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</si>
  <si>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</si>
  <si>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</si>
  <si>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</si>
  <si>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</si>
  <si>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</si>
  <si>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</si>
  <si>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</si>
  <si>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</si>
  <si>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</si>
  <si>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</si>
  <si>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</si>
  <si>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</si>
  <si>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</si>
  <si>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</si>
  <si>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</si>
  <si>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</si>
  <si>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</si>
  <si>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</si>
  <si>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</si>
  <si>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</si>
  <si>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</si>
  <si>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</si>
  <si>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</si>
  <si>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</si>
  <si>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</si>
  <si>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</si>
  <si>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</si>
  <si>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</si>
  <si>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</si>
  <si>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</si>
  <si>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</si>
  <si>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</si>
  <si>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</si>
  <si>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</si>
  <si>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</si>
  <si>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</si>
  <si>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</si>
  <si>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</si>
  <si>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</si>
  <si>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</si>
  <si>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</si>
  <si>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</si>
  <si>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</si>
  <si>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</si>
  <si>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</si>
  <si>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</si>
  <si>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</si>
  <si>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</si>
  <si>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</si>
  <si>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</si>
  <si>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</si>
  <si>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</si>
  <si>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</si>
  <si>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</si>
  <si>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</si>
  <si>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</si>
  <si>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</si>
  <si>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</si>
  <si>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</si>
  <si>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</si>
  <si>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</si>
  <si>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</si>
  <si>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</si>
  <si>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</si>
  <si>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</si>
  <si>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</si>
  <si>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</si>
  <si>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</si>
  <si>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</si>
  <si>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</si>
  <si>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</si>
  <si>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</si>
  <si>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</si>
  <si>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</si>
  <si>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</si>
  <si>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</si>
  <si>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</si>
  <si>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</si>
  <si>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</si>
  <si>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</si>
  <si>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</si>
  <si>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</si>
  <si>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</si>
  <si>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</si>
  <si>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</si>
  <si>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</si>
  <si>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</si>
  <si>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</si>
  <si>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</si>
  <si>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</si>
  <si>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</si>
  <si>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</si>
  <si>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</si>
  <si>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</si>
  <si>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</si>
  <si>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</si>
  <si>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</si>
  <si>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</si>
  <si>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</si>
  <si>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</si>
  <si>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</si>
  <si>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</si>
  <si>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</si>
  <si>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</si>
  <si>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</si>
  <si>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</si>
  <si>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</si>
  <si>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</si>
  <si>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</si>
  <si>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</si>
  <si>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</si>
  <si>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</si>
  <si>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</si>
  <si>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</si>
  <si>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</si>
  <si>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</si>
  <si>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</si>
  <si>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</si>
  <si>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</si>
  <si>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</si>
  <si>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</si>
  <si>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</si>
  <si>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</si>
  <si>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</si>
  <si>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</si>
  <si>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</si>
  <si>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</si>
  <si>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</si>
  <si>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</si>
  <si>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</si>
  <si>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</si>
  <si>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</si>
  <si>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</si>
  <si>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</si>
  <si>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</si>
  <si>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</si>
  <si>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</si>
  <si>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</si>
  <si>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</si>
  <si>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</si>
  <si>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</si>
  <si>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</si>
  <si>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</si>
  <si>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</si>
  <si>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</si>
  <si>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</si>
  <si>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</si>
  <si>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</si>
  <si>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</si>
  <si>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</si>
  <si>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</si>
  <si>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</si>
  <si>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</si>
  <si>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</si>
  <si>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</si>
  <si>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</si>
  <si>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</si>
  <si>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</si>
  <si>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</si>
  <si>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</si>
  <si>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</si>
  <si>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</si>
  <si>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</si>
  <si>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</si>
  <si>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</si>
  <si>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</si>
  <si>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</si>
  <si>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</si>
  <si>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</si>
  <si>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</si>
  <si>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</si>
  <si>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</si>
  <si>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</si>
  <si>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</si>
  <si>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</si>
  <si>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</si>
  <si>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</si>
  <si>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</si>
  <si>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</si>
  <si>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</si>
  <si>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</si>
  <si>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</si>
  <si>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</si>
  <si>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</si>
  <si>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</si>
  <si>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</si>
  <si>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</si>
  <si>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</si>
  <si>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</si>
  <si>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</si>
  <si>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</si>
  <si>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</si>
  <si>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</si>
  <si>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</si>
  <si>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</si>
  <si>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</si>
  <si>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</si>
  <si>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</si>
  <si>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</si>
  <si>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</si>
  <si>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</si>
  <si>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</si>
  <si>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</si>
  <si>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</si>
  <si>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</si>
  <si>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</si>
  <si>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</si>
  <si>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</si>
  <si>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</si>
  <si>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</si>
  <si>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</si>
  <si>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</si>
  <si>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</si>
  <si>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</si>
  <si>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</si>
  <si>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</si>
  <si>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</si>
  <si>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</si>
  <si>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</si>
  <si>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</si>
  <si>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</si>
  <si>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</si>
  <si>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</si>
  <si>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</si>
  <si>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</si>
  <si>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</si>
  <si>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</si>
  <si>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</si>
  <si>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</si>
  <si>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</si>
  <si>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</si>
  <si>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</si>
  <si>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</si>
  <si>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</si>
  <si>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</si>
  <si>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</si>
  <si>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</si>
  <si>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</si>
  <si>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</si>
  <si>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</si>
  <si>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</si>
  <si>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</si>
  <si>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</si>
  <si>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</si>
  <si>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</si>
  <si>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</si>
  <si>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</si>
  <si>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</si>
  <si>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</si>
  <si>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</si>
  <si>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</si>
  <si>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</si>
  <si>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</si>
  <si>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</si>
  <si>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</si>
  <si>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</si>
  <si>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</si>
  <si>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</si>
  <si>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</si>
  <si>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</si>
  <si>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</si>
  <si>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</si>
  <si>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</si>
  <si>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</si>
  <si>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</si>
  <si>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</si>
  <si>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</si>
  <si>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</si>
  <si>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</si>
  <si>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</si>
  <si>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</si>
  <si>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</si>
  <si>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</si>
  <si>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</si>
  <si>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</si>
  <si>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</si>
  <si>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</si>
  <si>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</si>
  <si>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</si>
  <si>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</si>
  <si>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</si>
  <si>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</si>
  <si>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</si>
  <si>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</si>
  <si>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</si>
  <si>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</si>
  <si>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</si>
  <si>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</si>
  <si>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</si>
  <si>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</si>
  <si>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</si>
  <si>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</si>
  <si>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</si>
  <si>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</si>
  <si>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</si>
  <si>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</si>
  <si>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</si>
  <si>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</si>
  <si>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</si>
  <si>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</si>
  <si>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</si>
  <si>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</si>
  <si>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</si>
  <si>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</si>
  <si>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</si>
  <si>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</si>
  <si>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</si>
  <si>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</si>
  <si>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</si>
  <si>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</si>
  <si>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</si>
  <si>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</si>
  <si>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</si>
  <si>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</si>
  <si>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</si>
  <si>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</si>
  <si>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</si>
  <si>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</si>
  <si>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</si>
  <si>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</si>
  <si>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</si>
  <si>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</si>
  <si>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</si>
  <si>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</si>
  <si>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</si>
  <si>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</si>
  <si>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</si>
  <si>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</si>
  <si>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</si>
  <si>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</si>
  <si>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</si>
  <si>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</si>
  <si>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</si>
  <si>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</si>
  <si>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</si>
  <si>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</si>
  <si>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</si>
  <si>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</si>
  <si>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</si>
  <si>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</si>
  <si>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</si>
  <si>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</si>
  <si>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</si>
  <si>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</si>
  <si>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</si>
  <si>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</si>
  <si>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</si>
  <si>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</si>
  <si>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</si>
  <si>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</si>
  <si>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</si>
  <si>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</si>
  <si>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</si>
  <si>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</si>
  <si>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</si>
  <si>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</si>
  <si>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</si>
  <si>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</si>
  <si>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</si>
  <si>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</si>
  <si>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</si>
  <si>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</si>
  <si>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</si>
  <si>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</si>
  <si>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</si>
  <si>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</si>
  <si>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</si>
  <si>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</si>
  <si>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</si>
  <si>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</si>
  <si>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</si>
  <si>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</si>
  <si>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</si>
  <si>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</si>
  <si>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</si>
  <si>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</si>
  <si>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</si>
  <si>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</si>
  <si>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</si>
  <si>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</si>
  <si>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</si>
  <si>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</si>
  <si>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</si>
  <si>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</si>
  <si>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</si>
  <si>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</si>
  <si>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</si>
  <si>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</si>
  <si>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</si>
  <si>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</si>
  <si>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</si>
  <si>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</si>
  <si>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</si>
  <si>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</si>
  <si>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</si>
  <si>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</si>
  <si>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</si>
  <si>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</si>
  <si>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</si>
  <si>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</si>
  <si>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</si>
  <si>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</si>
  <si>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</si>
  <si>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</si>
  <si>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</si>
  <si>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</si>
  <si>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</si>
  <si>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</si>
  <si>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</si>
  <si>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</si>
  <si>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</si>
  <si>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</si>
  <si>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</si>
  <si>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</si>
  <si>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</si>
  <si>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</si>
  <si>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</si>
  <si>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</si>
  <si>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</si>
  <si>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</si>
  <si>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</si>
  <si>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</si>
  <si>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</si>
  <si>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</si>
  <si>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</si>
  <si>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</si>
  <si>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</si>
  <si>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</si>
  <si>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</si>
  <si>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</si>
  <si>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</si>
  <si>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</si>
  <si>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</si>
  <si>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</si>
  <si>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</si>
  <si>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</si>
  <si>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</si>
  <si>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</si>
  <si>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</si>
  <si>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</si>
  <si>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</si>
  <si>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</si>
  <si>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</si>
  <si>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</si>
  <si>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</si>
  <si>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</si>
  <si>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</si>
  <si>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</si>
  <si>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</si>
  <si>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</si>
  <si>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</si>
  <si>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</si>
  <si>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</si>
  <si>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</si>
  <si>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</si>
  <si>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</si>
  <si>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</si>
  <si>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</si>
  <si>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</si>
  <si>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</si>
  <si>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</si>
  <si>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</si>
  <si>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</si>
  <si>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</si>
  <si>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</si>
  <si>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</si>
  <si>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</si>
  <si>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</si>
  <si>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</si>
  <si>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</si>
  <si>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</si>
  <si>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</si>
  <si>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</si>
  <si>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</si>
  <si>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</si>
  <si>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</si>
  <si>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</si>
  <si>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</si>
  <si>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</si>
  <si>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</si>
  <si>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</si>
  <si>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</si>
  <si>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</si>
  <si>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</si>
  <si>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</si>
  <si>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</si>
  <si>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</si>
  <si>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</si>
  <si>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</si>
  <si>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</si>
  <si>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</si>
  <si>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</si>
  <si>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</si>
  <si>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</si>
  <si>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</si>
  <si>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</si>
  <si>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</si>
  <si>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</si>
  <si>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</si>
  <si>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</si>
  <si>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</si>
  <si>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</si>
  <si>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</si>
  <si>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</si>
  <si>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</si>
  <si>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</si>
  <si>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</si>
  <si>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</si>
  <si>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</si>
  <si>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</si>
  <si>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</si>
  <si>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</si>
  <si>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</si>
  <si>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</si>
  <si>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</si>
  <si>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</si>
  <si>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</si>
  <si>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</si>
  <si>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</si>
  <si>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</si>
  <si>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</si>
  <si>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</si>
  <si>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</si>
  <si>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</si>
  <si>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</si>
  <si>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</si>
  <si>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</si>
  <si>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</si>
  <si>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</si>
  <si>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</si>
  <si>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</si>
  <si>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</si>
  <si>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</si>
  <si>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</si>
  <si>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</si>
  <si>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</si>
  <si>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</si>
  <si>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</si>
  <si>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</si>
  <si>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</si>
  <si>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</si>
  <si>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</si>
  <si>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</si>
  <si>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</si>
  <si>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</si>
  <si>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</si>
  <si>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</si>
  <si>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</si>
  <si>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</si>
  <si>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</si>
  <si>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</si>
  <si>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</si>
  <si>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</si>
  <si>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</si>
  <si>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</si>
  <si>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</si>
  <si>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</si>
  <si>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</si>
  <si>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</si>
  <si>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</si>
  <si>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</si>
  <si>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</si>
  <si>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</si>
  <si>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</si>
  <si>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</si>
  <si>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</si>
  <si>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</si>
  <si>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</si>
  <si>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</si>
  <si>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</si>
  <si>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</si>
  <si>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</si>
  <si>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</si>
  <si>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</si>
  <si>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</si>
  <si>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</si>
  <si>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</si>
  <si>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</si>
  <si>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</si>
  <si>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</si>
  <si>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</si>
  <si>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</si>
  <si>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</si>
  <si>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</si>
  <si>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</si>
  <si>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</si>
  <si>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</si>
  <si>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</si>
  <si>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</si>
  <si>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</si>
  <si>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</si>
  <si>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</si>
  <si>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</si>
  <si>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</si>
  <si>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</si>
  <si>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</si>
  <si>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</si>
  <si>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</si>
  <si>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</si>
  <si>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</si>
  <si>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</si>
  <si>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</si>
  <si>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</si>
  <si>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</si>
  <si>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</si>
  <si>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</si>
  <si>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</si>
  <si>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</si>
  <si>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</si>
  <si>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</si>
  <si>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</si>
  <si>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</si>
  <si>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</si>
  <si>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</si>
  <si>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</si>
  <si>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</si>
  <si>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</si>
  <si>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</si>
  <si>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</si>
  <si>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</si>
  <si>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</si>
  <si>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</si>
  <si>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</si>
  <si>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</si>
  <si>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</si>
  <si>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</si>
  <si>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</si>
  <si>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</si>
  <si>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</si>
  <si>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</si>
  <si>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</si>
  <si>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</si>
  <si>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</si>
  <si>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</si>
  <si>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</si>
  <si>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</si>
  <si>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</si>
  <si>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</si>
  <si>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</si>
  <si>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</si>
  <si>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</si>
  <si>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</si>
  <si>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</si>
  <si>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</si>
  <si>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</si>
  <si>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</si>
  <si>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</si>
  <si>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</si>
  <si>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</si>
  <si>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</si>
  <si>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</si>
  <si>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</si>
  <si>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</si>
  <si>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</si>
  <si>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</si>
  <si>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</si>
  <si>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</si>
  <si>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</si>
  <si>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</si>
  <si>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</si>
  <si>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</si>
  <si>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</si>
  <si>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</si>
  <si>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</si>
  <si>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</si>
  <si>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</si>
  <si>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</si>
  <si>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</si>
  <si>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</si>
  <si>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</si>
  <si>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</si>
  <si>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</si>
  <si>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</si>
  <si>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</si>
  <si>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</si>
  <si>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</si>
  <si>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</si>
  <si>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</si>
  <si>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</si>
  <si>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</si>
  <si>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</si>
  <si>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</si>
  <si>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</si>
  <si>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</si>
  <si>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</si>
  <si>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</si>
  <si>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</si>
  <si>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</si>
  <si>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</si>
  <si>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</si>
  <si>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</si>
  <si>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</si>
  <si>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</si>
  <si>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</si>
  <si>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</si>
  <si>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</si>
  <si>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</si>
  <si>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</si>
  <si>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</si>
  <si>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</si>
  <si>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</si>
  <si>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</si>
  <si>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</si>
  <si>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</si>
  <si>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</si>
  <si>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</si>
  <si>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</si>
  <si>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</si>
  <si>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</si>
  <si>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</si>
  <si>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</si>
  <si>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</si>
  <si>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</si>
  <si>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</si>
  <si>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</si>
  <si>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</si>
  <si>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</si>
  <si>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</si>
  <si>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</si>
  <si>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</si>
  <si>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</si>
  <si>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</si>
  <si>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</si>
  <si>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</si>
  <si>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</si>
  <si>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</si>
  <si>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</si>
  <si>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</si>
  <si>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</si>
  <si>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</si>
  <si>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</si>
  <si>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</si>
  <si>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</si>
  <si>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</si>
  <si>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</si>
  <si>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</si>
  <si>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</si>
  <si>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</si>
  <si>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</si>
  <si>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</si>
  <si>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</si>
  <si>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</si>
  <si>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</si>
  <si>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</si>
  <si>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</si>
  <si>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</si>
  <si>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</si>
  <si>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</si>
  <si>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</si>
  <si>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</si>
  <si>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</si>
  <si>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</si>
  <si>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</si>
  <si>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</si>
  <si>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</si>
  <si>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</si>
  <si>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</si>
  <si>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</si>
  <si>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</si>
  <si>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</si>
  <si>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</si>
  <si>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</si>
  <si>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</si>
  <si>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</si>
  <si>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</si>
  <si>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</si>
  <si>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</si>
  <si>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</si>
  <si>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</si>
  <si>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</si>
  <si>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</si>
  <si>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</si>
  <si>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</si>
  <si>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</si>
  <si>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</si>
  <si>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</si>
  <si>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</si>
  <si>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</si>
  <si>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</si>
  <si>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</si>
  <si>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</si>
  <si>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</si>
  <si>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</si>
  <si>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</si>
  <si>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</si>
  <si>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</si>
  <si>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</si>
  <si>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</si>
  <si>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</si>
  <si>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</si>
  <si>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</si>
  <si>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</si>
  <si>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</si>
  <si>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</si>
  <si>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</si>
  <si>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</si>
  <si>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</si>
  <si>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</si>
  <si>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</si>
  <si>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</si>
  <si>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</si>
  <si>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</si>
  <si>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</si>
  <si>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</si>
  <si>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</si>
  <si>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</si>
  <si>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</si>
  <si>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</si>
  <si>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</si>
  <si>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</si>
  <si>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</si>
  <si>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</si>
  <si>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</si>
  <si>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</si>
  <si>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</si>
  <si>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</si>
  <si>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</si>
  <si>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</si>
  <si>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</si>
  <si>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</si>
  <si>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</si>
  <si>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</si>
  <si>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</si>
  <si>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</si>
  <si>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</si>
  <si>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</si>
  <si>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</si>
  <si>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</si>
  <si>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</si>
  <si>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</si>
  <si>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</si>
  <si>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</si>
  <si>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</si>
  <si>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</si>
  <si>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</si>
  <si>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</si>
  <si>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</si>
  <si>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</si>
  <si>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</si>
  <si>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</si>
  <si>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</si>
  <si>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</si>
  <si>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</si>
  <si>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</si>
  <si>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</si>
  <si>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</si>
  <si>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</si>
  <si>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</si>
  <si>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</si>
  <si>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</si>
  <si>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</si>
  <si>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</si>
  <si>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</si>
  <si>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</si>
  <si>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</si>
  <si>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</si>
  <si>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</si>
  <si>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</si>
  <si>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</si>
  <si>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</si>
  <si>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</si>
  <si>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</si>
  <si>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</si>
  <si>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</si>
  <si>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</si>
  <si>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</si>
  <si>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</si>
  <si>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</si>
  <si>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</si>
  <si>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</si>
  <si>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</si>
  <si>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</si>
  <si>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</si>
  <si>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</si>
  <si>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</si>
  <si>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</si>
  <si>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</si>
  <si>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</si>
  <si>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</si>
  <si>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</si>
  <si>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</si>
  <si>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</si>
  <si>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</si>
  <si>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</si>
  <si>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</si>
  <si>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</si>
  <si>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</si>
  <si>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</si>
  <si>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</si>
  <si>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</si>
  <si>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</si>
  <si>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</si>
  <si>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</si>
  <si>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</si>
  <si>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</si>
  <si>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</si>
  <si>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</si>
  <si>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</si>
  <si>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</si>
  <si>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</si>
  <si>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</si>
  <si>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</si>
  <si>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</si>
  <si>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</si>
  <si>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</si>
  <si>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</si>
  <si>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</si>
  <si>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</si>
  <si>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</si>
  <si>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</si>
  <si>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</si>
  <si>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</si>
  <si>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</si>
  <si>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</si>
  <si>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</si>
  <si>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</si>
  <si>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</si>
  <si>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</si>
  <si>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</si>
  <si>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</si>
  <si>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</si>
  <si>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</si>
  <si>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</si>
  <si>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</si>
  <si>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</si>
  <si>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</si>
  <si>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</si>
  <si>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</si>
  <si>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</si>
  <si>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</si>
  <si>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</si>
  <si>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</si>
  <si>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</si>
  <si>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</si>
  <si>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</si>
  <si>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</si>
  <si>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</si>
  <si>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</si>
  <si>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</si>
  <si>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</si>
  <si>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</si>
  <si>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</si>
  <si>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</si>
  <si>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</si>
  <si>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</si>
  <si>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</si>
  <si>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</si>
  <si>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</si>
  <si>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</si>
  <si>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</si>
  <si>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</si>
  <si>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</si>
  <si>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</si>
  <si>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</si>
  <si>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</si>
  <si>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</si>
  <si>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</si>
  <si>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</si>
  <si>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</si>
  <si>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</si>
  <si>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</si>
  <si>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</si>
  <si>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</si>
  <si>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</si>
  <si>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</si>
  <si>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</si>
  <si>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</si>
  <si>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</si>
  <si>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</si>
  <si>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</si>
  <si>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</si>
  <si>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</si>
  <si>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</si>
  <si>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</si>
  <si>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</si>
  <si>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</si>
  <si>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</si>
  <si>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</si>
  <si>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</si>
  <si>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</si>
  <si>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</si>
  <si>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</si>
  <si>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</si>
  <si>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</si>
  <si>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</si>
  <si>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</si>
  <si>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</si>
  <si>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</si>
  <si>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</si>
  <si>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</si>
  <si>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</si>
  <si>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</si>
  <si>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</si>
  <si>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</si>
  <si>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</si>
  <si>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</si>
  <si>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</si>
  <si>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</si>
  <si>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</si>
  <si>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</si>
  <si>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</si>
  <si>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</si>
  <si>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</si>
  <si>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</si>
  <si>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</si>
  <si>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</si>
  <si>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</si>
  <si>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</si>
  <si>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</si>
  <si>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</si>
  <si>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</si>
  <si>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</si>
  <si>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</si>
  <si>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</si>
  <si>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</si>
  <si>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</si>
  <si>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</si>
  <si>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</si>
  <si>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</si>
  <si>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</si>
  <si>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</si>
  <si>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</si>
  <si>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</si>
  <si>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</si>
  <si>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</si>
  <si>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</si>
  <si>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</si>
  <si>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</si>
  <si>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</si>
  <si>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</si>
  <si>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</si>
  <si>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</si>
  <si>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</si>
  <si>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</si>
  <si>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</si>
  <si>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</si>
  <si>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</si>
  <si>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</si>
  <si>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</si>
  <si>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</si>
  <si>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</si>
  <si>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</si>
  <si>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</si>
  <si>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</si>
  <si>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</si>
  <si>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</si>
  <si>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</si>
  <si>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</si>
  <si>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</si>
  <si>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</si>
  <si>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</si>
  <si>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</si>
  <si>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</si>
  <si>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</si>
  <si>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</si>
  <si>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</si>
  <si>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</si>
  <si>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</si>
  <si>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</si>
  <si>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</si>
  <si>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</si>
  <si>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</si>
  <si>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</si>
  <si>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</si>
  <si>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</si>
  <si>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</si>
  <si>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</si>
  <si>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</si>
  <si>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</si>
  <si>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</si>
  <si>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</si>
  <si>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</si>
  <si>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</si>
  <si>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</si>
  <si>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</si>
  <si>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</si>
  <si>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</si>
  <si>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</si>
  <si>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</si>
  <si>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</si>
  <si>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</si>
  <si>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</si>
  <si>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</si>
  <si>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</si>
  <si>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</si>
  <si>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</si>
  <si>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</si>
  <si>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</si>
  <si>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</si>
  <si>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</si>
  <si>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</si>
  <si>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</si>
  <si>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</si>
  <si>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</si>
  <si>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</si>
  <si>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</si>
  <si>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</si>
  <si>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</si>
  <si>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</si>
  <si>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</si>
  <si>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</si>
  <si>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</si>
  <si>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</si>
  <si>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</si>
  <si>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</si>
  <si>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</si>
  <si>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</si>
  <si>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</si>
  <si>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</si>
  <si>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</si>
  <si>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</si>
  <si>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</si>
  <si>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</si>
  <si>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</si>
  <si>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</si>
  <si>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</si>
  <si>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</si>
  <si>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</si>
  <si>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</si>
  <si>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</si>
  <si>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</si>
  <si>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</si>
  <si>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</si>
  <si>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</si>
  <si>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</si>
  <si>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</si>
  <si>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</si>
  <si>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</si>
  <si>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</si>
  <si>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</si>
  <si>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</si>
  <si>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</si>
  <si>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</si>
  <si>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</si>
  <si>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</si>
  <si>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</si>
  <si>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</si>
  <si>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</si>
  <si>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</si>
  <si>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</si>
  <si>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</si>
  <si>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</si>
  <si>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</si>
  <si>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</si>
  <si>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</si>
  <si>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</si>
  <si>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</si>
  <si>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</si>
  <si>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</si>
  <si>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</si>
  <si>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</si>
  <si>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</si>
  <si>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</si>
  <si>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</si>
  <si>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</si>
  <si>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</si>
  <si>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</si>
  <si>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</si>
  <si>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</si>
  <si>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</si>
  <si>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</si>
  <si>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</si>
  <si>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</si>
  <si>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</si>
  <si>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</si>
  <si>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</si>
  <si>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</si>
  <si>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</si>
  <si>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</si>
  <si>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</si>
  <si>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</si>
  <si>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</si>
  <si>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</si>
  <si>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</si>
  <si>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</si>
  <si>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</si>
  <si>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</si>
  <si>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</si>
  <si>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</si>
  <si>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</si>
  <si>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</si>
  <si>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</si>
  <si>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</si>
  <si>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</si>
  <si>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</si>
  <si>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</si>
  <si>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</si>
  <si>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</si>
  <si>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</si>
  <si>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</si>
  <si>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</si>
  <si>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</si>
  <si>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</si>
  <si>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</si>
  <si>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</si>
  <si>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</si>
  <si>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</si>
  <si>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</si>
  <si>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</si>
  <si>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</si>
  <si>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</si>
  <si>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</si>
  <si>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</si>
  <si>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</si>
  <si>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</si>
  <si>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</si>
  <si>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</si>
  <si>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</si>
  <si>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</si>
  <si>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</si>
  <si>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</si>
  <si>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</si>
  <si>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</si>
  <si>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</si>
  <si>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</si>
  <si>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</si>
  <si>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</si>
  <si>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</si>
  <si>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</si>
  <si>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</si>
  <si>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</si>
  <si>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</si>
  <si>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</si>
  <si>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</si>
  <si>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</si>
  <si>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</si>
  <si>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</si>
  <si>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</si>
  <si>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</si>
  <si>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</si>
  <si>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</si>
  <si>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</si>
  <si>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</si>
  <si>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</si>
  <si>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</si>
  <si>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</si>
  <si>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</si>
  <si>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</si>
  <si>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</si>
  <si>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</si>
  <si>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</si>
  <si>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</si>
  <si>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</si>
  <si>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</si>
  <si>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</si>
  <si>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</si>
  <si>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</si>
  <si>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</si>
  <si>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</si>
  <si>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</si>
  <si>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</si>
  <si>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</si>
  <si>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</si>
  <si>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</si>
  <si>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</si>
  <si>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</si>
  <si>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</si>
  <si>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</si>
  <si>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</si>
  <si>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</si>
  <si>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</si>
  <si>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</si>
  <si>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</si>
  <si>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</si>
  <si>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</si>
  <si>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</si>
  <si>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</si>
  <si>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</si>
  <si>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</si>
  <si>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</si>
  <si>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</si>
  <si>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</si>
  <si>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</si>
  <si>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</si>
  <si>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</si>
  <si>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</si>
  <si>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</si>
  <si>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</si>
  <si>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</si>
  <si>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</si>
  <si>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</si>
  <si>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</si>
  <si>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</si>
  <si>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</si>
  <si>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</si>
  <si>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</si>
  <si>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</si>
  <si>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</si>
  <si>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</si>
  <si>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</si>
  <si>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</si>
  <si>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</si>
  <si>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</si>
  <si>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</si>
  <si>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</si>
  <si>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</si>
  <si>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</si>
  <si>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</si>
  <si>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</si>
  <si>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</si>
  <si>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</si>
  <si>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</si>
  <si>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</si>
  <si>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</si>
  <si>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</si>
  <si>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</si>
  <si>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</si>
  <si>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</si>
  <si>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</si>
  <si>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</si>
  <si>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</si>
  <si>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</si>
  <si>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</si>
  <si>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</si>
  <si>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</si>
  <si>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</si>
  <si>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</si>
  <si>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</si>
  <si>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</si>
  <si>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</si>
  <si>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</si>
  <si>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</si>
  <si>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</si>
  <si>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</si>
  <si>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</si>
  <si>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</si>
  <si>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</si>
  <si>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</si>
  <si>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</si>
  <si>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</si>
  <si>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</si>
  <si>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</si>
  <si>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</si>
  <si>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</si>
  <si>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</si>
  <si>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</si>
  <si>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</si>
  <si>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</si>
  <si>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</si>
  <si>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</si>
  <si>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</si>
  <si>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</si>
  <si>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</si>
  <si>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</si>
  <si>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</si>
  <si>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</si>
  <si>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</si>
  <si>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</si>
  <si>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</si>
  <si>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</si>
  <si>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</si>
  <si>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</si>
  <si>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</si>
  <si>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</si>
  <si>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</si>
  <si>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</si>
  <si>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</si>
  <si>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</si>
  <si>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</si>
  <si>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</si>
  <si>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</si>
  <si>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</si>
  <si>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</si>
  <si>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</si>
  <si>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</si>
  <si>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</si>
  <si>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</si>
  <si>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</si>
  <si>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</si>
  <si>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</si>
  <si>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</si>
  <si>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</si>
  <si>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</si>
  <si>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</si>
  <si>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</si>
  <si>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</si>
  <si>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</si>
  <si>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</si>
  <si>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</si>
  <si>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</si>
  <si>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</si>
  <si>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</si>
  <si>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</si>
  <si>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</si>
  <si>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</si>
  <si>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</si>
  <si>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</si>
  <si>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</si>
  <si>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</si>
  <si>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</si>
  <si>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</si>
  <si>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</si>
  <si>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</si>
  <si>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</si>
  <si>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</si>
  <si>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</si>
  <si>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</si>
  <si>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</si>
  <si>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</si>
  <si>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</si>
  <si>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</si>
  <si>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</si>
  <si>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</si>
  <si>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</si>
  <si>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</si>
  <si>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</si>
  <si>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</si>
  <si>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</si>
  <si>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</si>
  <si>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</si>
  <si>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</si>
  <si>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</si>
  <si>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</si>
  <si>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</si>
  <si>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</si>
  <si>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</si>
  <si>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</si>
  <si>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</si>
  <si>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</si>
  <si>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</si>
  <si>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</si>
  <si>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</si>
  <si>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</si>
  <si>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</si>
  <si>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</si>
  <si>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</si>
  <si>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</si>
  <si>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</si>
  <si>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</si>
  <si>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</si>
  <si>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</si>
  <si>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</si>
  <si>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</si>
  <si>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</si>
  <si>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</si>
  <si>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</si>
  <si>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</si>
  <si>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</si>
  <si>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</si>
  <si>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</si>
  <si>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</si>
  <si>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</si>
  <si>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</si>
  <si>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</si>
  <si>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</si>
  <si>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</si>
  <si>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</si>
  <si>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</si>
  <si>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</si>
  <si>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</si>
  <si>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</si>
  <si>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</si>
  <si>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</si>
  <si>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</si>
  <si>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</si>
  <si>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</si>
  <si>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</si>
  <si>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</si>
  <si>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</si>
  <si>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</si>
  <si>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</si>
  <si>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</si>
  <si>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</si>
  <si>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</si>
  <si>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</si>
  <si>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</si>
  <si>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</si>
  <si>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</si>
  <si>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</si>
  <si>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</si>
  <si>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</si>
  <si>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</si>
  <si>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</si>
  <si>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</si>
  <si>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</si>
  <si>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</si>
  <si>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</si>
  <si>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</si>
  <si>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</si>
  <si>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</si>
  <si>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</si>
  <si>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</si>
  <si>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</si>
  <si>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</si>
  <si>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</si>
  <si>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</si>
  <si>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</si>
  <si>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</si>
  <si>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</si>
  <si>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</si>
  <si>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</si>
  <si>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</si>
  <si>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</si>
  <si>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</si>
  <si>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</si>
  <si>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</si>
  <si>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</si>
  <si>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</si>
  <si>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</si>
  <si>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</si>
  <si>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</si>
  <si>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</si>
  <si>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</si>
  <si>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</si>
  <si>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</si>
  <si>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</si>
  <si>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</si>
  <si>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</si>
  <si>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</si>
  <si>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</si>
  <si>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</si>
  <si>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</si>
  <si>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</si>
  <si>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</si>
  <si>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</si>
  <si>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</si>
  <si>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</si>
  <si>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</si>
  <si>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</si>
  <si>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</si>
  <si>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</si>
  <si>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</si>
  <si>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</si>
  <si>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</si>
  <si>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</si>
  <si>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</si>
  <si>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</si>
  <si>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</si>
  <si>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</si>
  <si>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</si>
  <si>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</si>
  <si>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</si>
  <si>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</si>
  <si>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</si>
  <si>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</si>
  <si>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</si>
  <si>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</si>
  <si>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</si>
  <si>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</si>
  <si>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</si>
  <si>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</si>
  <si>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</si>
  <si>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</si>
  <si>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</si>
  <si>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</si>
  <si>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</si>
  <si>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</si>
  <si>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</si>
  <si>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</si>
  <si>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</si>
  <si>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</si>
  <si>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</si>
  <si>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</si>
  <si>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</si>
  <si>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</si>
  <si>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</si>
  <si>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</si>
  <si>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</si>
  <si>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</si>
  <si>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</si>
  <si>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</si>
  <si>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</si>
  <si>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</si>
  <si>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</si>
  <si>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</si>
  <si>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</si>
  <si>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</si>
  <si>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</si>
  <si>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</si>
  <si>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</si>
  <si>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</si>
  <si>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</si>
  <si>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</si>
  <si>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</si>
  <si>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</si>
  <si>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</si>
  <si>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</si>
  <si>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</si>
  <si>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</si>
  <si>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</si>
  <si>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</si>
  <si>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</si>
  <si>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</si>
  <si>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</si>
  <si>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</si>
  <si>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</si>
  <si>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</si>
  <si>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</si>
  <si>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</si>
  <si>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</si>
  <si>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</si>
  <si>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</si>
  <si>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</si>
  <si>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</si>
  <si>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</si>
  <si>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</si>
  <si>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</si>
  <si>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</si>
  <si>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</si>
  <si>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</si>
  <si>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</si>
  <si>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</si>
  <si>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</si>
  <si>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</si>
  <si>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</si>
  <si>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</si>
  <si>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</si>
  <si>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</si>
  <si>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</si>
  <si>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</si>
  <si>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</si>
  <si>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</si>
  <si>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</si>
  <si>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</si>
  <si>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</si>
  <si>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</si>
  <si>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</si>
  <si>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</si>
  <si>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</si>
  <si>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</si>
  <si>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</si>
  <si>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</si>
  <si>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</si>
  <si>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</si>
  <si>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</si>
  <si>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</si>
  <si>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</si>
  <si>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</si>
  <si>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</si>
  <si>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</si>
  <si>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</si>
  <si>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</si>
  <si>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</si>
  <si>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</si>
  <si>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</si>
  <si>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</si>
  <si>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</si>
  <si>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</si>
  <si>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</si>
  <si>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</si>
  <si>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</si>
  <si>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</si>
  <si>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</si>
  <si>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</si>
  <si>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</si>
  <si>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</si>
  <si>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</si>
  <si>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</si>
  <si>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</si>
  <si>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</si>
  <si>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</si>
  <si>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</si>
  <si>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</si>
  <si>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</si>
  <si>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</si>
  <si>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</si>
  <si>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</si>
  <si>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</si>
  <si>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</si>
  <si>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</si>
  <si>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</si>
  <si>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</si>
  <si>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</si>
  <si>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</si>
  <si>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</si>
  <si>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</si>
  <si>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</si>
  <si>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</si>
  <si>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</si>
  <si>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</si>
  <si>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</si>
  <si>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</si>
  <si>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</si>
  <si>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</si>
  <si>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</si>
  <si>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</si>
  <si>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</si>
  <si>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</si>
  <si>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</si>
  <si>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</si>
  <si>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</si>
  <si>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</si>
  <si>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</si>
  <si>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</si>
  <si>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</si>
  <si>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</si>
  <si>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</si>
  <si>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</si>
  <si>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</si>
  <si>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</si>
  <si>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</si>
  <si>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</si>
  <si>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</si>
  <si>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</si>
  <si>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</si>
  <si>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</si>
  <si>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</si>
  <si>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</si>
  <si>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</si>
  <si>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</si>
  <si>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</si>
  <si>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</si>
  <si>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</si>
  <si>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</si>
  <si>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</si>
  <si>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</si>
  <si>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</si>
  <si>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</si>
  <si>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</si>
  <si>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</si>
  <si>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</si>
  <si>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</si>
  <si>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</si>
  <si>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</si>
  <si>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</si>
  <si>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</si>
  <si>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</si>
  <si>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</si>
  <si>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</si>
  <si>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</si>
  <si>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</si>
  <si>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</si>
  <si>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</si>
  <si>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</si>
  <si>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</si>
  <si>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</si>
  <si>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</si>
  <si>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</si>
  <si>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</si>
  <si>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</si>
  <si>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</si>
  <si>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</si>
  <si>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</si>
  <si>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</si>
  <si>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</si>
  <si>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</si>
  <si>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</si>
  <si>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</si>
  <si>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</si>
  <si>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</si>
  <si>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</si>
  <si>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</si>
  <si>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</si>
  <si>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</si>
  <si>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</si>
  <si>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</si>
  <si>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</si>
  <si>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</si>
  <si>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</si>
  <si>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</si>
  <si>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</si>
  <si>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</si>
  <si>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</si>
  <si>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</si>
  <si>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</si>
  <si>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</si>
  <si>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</si>
  <si>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</si>
  <si>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</si>
  <si>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</si>
  <si>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</si>
  <si>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</si>
  <si>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</si>
  <si>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</si>
  <si>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</si>
  <si>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</si>
  <si>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</si>
  <si>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</si>
  <si>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</si>
  <si>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</si>
  <si>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</si>
  <si>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</si>
  <si>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</si>
  <si>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</si>
  <si>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</si>
  <si>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</si>
  <si>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</si>
  <si>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</si>
  <si>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</si>
  <si>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</si>
  <si>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</si>
  <si>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</si>
  <si>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</si>
  <si>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</si>
  <si>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</si>
  <si>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</si>
  <si>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</si>
  <si>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</si>
  <si>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</si>
  <si>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</si>
  <si>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</si>
  <si>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</si>
  <si>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</si>
  <si>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</si>
  <si>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</si>
  <si>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</si>
  <si>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</si>
  <si>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</si>
  <si>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</si>
  <si>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</si>
  <si>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</si>
  <si>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</si>
  <si>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</si>
  <si>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</si>
  <si>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</si>
  <si>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</si>
  <si>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</si>
  <si>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</si>
  <si>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</si>
  <si>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</si>
  <si>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</si>
  <si>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</si>
  <si>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</si>
  <si>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</si>
  <si>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</si>
  <si>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</si>
  <si>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</si>
  <si>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</si>
  <si>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</si>
  <si>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</si>
  <si>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</si>
  <si>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</si>
  <si>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</si>
  <si>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</si>
  <si>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</si>
  <si>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</si>
  <si>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</si>
  <si>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</si>
  <si>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</si>
  <si>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</si>
  <si>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</si>
  <si>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</si>
  <si>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</si>
  <si>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</si>
  <si>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</si>
  <si>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</si>
  <si>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</si>
  <si>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</si>
  <si>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</si>
  <si>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</si>
  <si>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</si>
  <si>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</si>
  <si>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</si>
  <si>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</si>
  <si>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</si>
  <si>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</si>
  <si>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</si>
  <si>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</si>
  <si>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</si>
  <si>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</si>
  <si>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</si>
  <si>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</si>
  <si>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</si>
  <si>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</si>
  <si>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</si>
  <si>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</si>
  <si>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</si>
  <si>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</si>
  <si>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</si>
  <si>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</si>
  <si>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</si>
  <si>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</si>
  <si>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</si>
  <si>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</si>
  <si>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</si>
  <si>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</si>
  <si>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</si>
  <si>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</si>
  <si>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</si>
  <si>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</si>
  <si>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</si>
  <si>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</si>
  <si>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</si>
  <si>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</si>
  <si>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</si>
  <si>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</si>
  <si>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</si>
  <si>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</si>
  <si>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</si>
  <si>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</si>
  <si>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</si>
  <si>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</si>
  <si>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</si>
  <si>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</si>
  <si>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</si>
  <si>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</si>
  <si>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</si>
  <si>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</si>
  <si>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</si>
  <si>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</si>
  <si>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</si>
  <si>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</si>
  <si>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</si>
  <si>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</si>
  <si>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</si>
  <si>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</si>
  <si>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</si>
  <si>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</si>
  <si>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</si>
  <si>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</si>
  <si>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</si>
  <si>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</si>
  <si>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</si>
  <si>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</si>
  <si>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</si>
  <si>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</si>
  <si>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</si>
  <si>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</si>
  <si>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</si>
  <si>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</si>
  <si>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</si>
  <si>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</si>
  <si>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</si>
  <si>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</si>
  <si>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</si>
  <si>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</si>
  <si>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</si>
  <si>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</si>
  <si>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</si>
  <si>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</si>
  <si>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</si>
  <si>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</si>
  <si>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</si>
  <si>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</si>
  <si>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</si>
  <si>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</si>
  <si>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</si>
  <si>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</si>
  <si>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</si>
  <si>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</si>
  <si>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</si>
  <si>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</si>
  <si>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</si>
  <si>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</si>
  <si>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</si>
  <si>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</si>
  <si>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</si>
  <si>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</si>
  <si>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</si>
  <si>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</si>
  <si>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</si>
  <si>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</si>
  <si>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</si>
  <si>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</si>
  <si>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</si>
  <si>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</si>
  <si>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</si>
  <si>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</si>
  <si>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</si>
  <si>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</si>
  <si>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</si>
  <si>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</si>
  <si>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</si>
  <si>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</si>
  <si>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</si>
  <si>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</si>
  <si>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</si>
  <si>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</si>
  <si>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</si>
  <si>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</si>
  <si>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</si>
  <si>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</si>
  <si>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</si>
  <si>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</si>
  <si>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</si>
  <si>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</si>
  <si>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</si>
  <si>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</si>
  <si>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</si>
  <si>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</si>
  <si>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</si>
  <si>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</si>
  <si>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</si>
  <si>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</si>
  <si>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</si>
  <si>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</si>
  <si>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</si>
  <si>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</si>
  <si>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</si>
  <si>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</si>
  <si>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</si>
  <si>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</si>
  <si>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</si>
  <si>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</si>
  <si>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</si>
  <si>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</si>
  <si>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</si>
  <si>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</si>
  <si>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</si>
  <si>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</si>
  <si>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</si>
  <si>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</si>
  <si>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</si>
  <si>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</si>
  <si>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</si>
  <si>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</si>
  <si>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</si>
  <si>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</si>
  <si>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</si>
  <si>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</si>
  <si>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</si>
  <si>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</si>
  <si>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</si>
  <si>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</si>
  <si>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</si>
  <si>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</si>
  <si>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</si>
  <si>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</si>
  <si>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</si>
  <si>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</si>
  <si>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</si>
  <si>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</si>
  <si>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</si>
  <si>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</si>
  <si>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</si>
  <si>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</si>
  <si>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</si>
  <si>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</si>
  <si>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</si>
  <si>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</si>
  <si>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</si>
  <si>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</si>
  <si>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</si>
  <si>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</si>
  <si>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</si>
  <si>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</si>
  <si>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</si>
  <si>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</si>
  <si>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</si>
  <si>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</si>
  <si>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</si>
  <si>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</si>
  <si>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</si>
  <si>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</si>
  <si>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</si>
  <si>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</si>
  <si>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</si>
  <si>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</si>
  <si>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</si>
  <si>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</si>
  <si>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</si>
  <si>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</si>
  <si>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</si>
  <si>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</si>
  <si>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</si>
  <si>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</si>
  <si>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</si>
  <si>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</si>
  <si>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</si>
  <si>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</si>
  <si>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</si>
  <si>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</si>
  <si>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</si>
  <si>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</si>
  <si>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</si>
  <si>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</si>
  <si>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</si>
  <si>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</si>
  <si>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</si>
  <si>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</si>
  <si>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</si>
  <si>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</si>
  <si>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</si>
  <si>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</si>
  <si>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</si>
  <si>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</si>
  <si>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</si>
  <si>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</si>
  <si>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</si>
  <si>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</si>
  <si>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</si>
  <si>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</si>
  <si>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</si>
  <si>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</si>
  <si>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</si>
  <si>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</si>
  <si>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</si>
  <si>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</si>
  <si>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</si>
  <si>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</si>
  <si>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</si>
  <si>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</si>
  <si>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</si>
  <si>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</si>
  <si>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</si>
  <si>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</si>
  <si>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</si>
  <si>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</si>
  <si>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</si>
  <si>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</si>
  <si>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</si>
  <si>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</si>
  <si>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</si>
  <si>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</si>
  <si>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</si>
  <si>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</si>
  <si>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</si>
  <si>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</si>
  <si>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</si>
  <si>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</si>
  <si>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</si>
  <si>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</si>
  <si>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</si>
  <si>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</si>
  <si>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</si>
  <si>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</si>
  <si>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</si>
  <si>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</si>
  <si>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</si>
  <si>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</si>
  <si>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</si>
  <si>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</si>
  <si>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</si>
  <si>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</si>
  <si>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</si>
  <si>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</si>
  <si>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</si>
  <si>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</si>
  <si>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</si>
  <si>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</si>
  <si>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</si>
  <si>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</si>
  <si>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</si>
  <si>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</si>
  <si>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</si>
  <si>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</si>
  <si>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</si>
  <si>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</si>
  <si>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</si>
  <si>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</si>
  <si>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</si>
  <si>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</si>
  <si>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</si>
  <si>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</si>
  <si>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</si>
  <si>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</si>
  <si>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</si>
  <si>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</si>
  <si>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</si>
  <si>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</si>
  <si>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</si>
  <si>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</si>
  <si>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</si>
  <si>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</si>
  <si>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</si>
  <si>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</si>
  <si>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</si>
  <si>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</si>
  <si>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</si>
  <si>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</si>
  <si>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</si>
  <si>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</si>
  <si>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</si>
  <si>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</si>
  <si>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</si>
  <si>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</si>
  <si>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</si>
  <si>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</si>
  <si>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</si>
  <si>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</si>
  <si>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</si>
  <si>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</si>
  <si>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</si>
  <si>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</si>
  <si>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</si>
  <si>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</si>
  <si>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</si>
  <si>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</si>
  <si>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</si>
  <si>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</si>
  <si>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</si>
  <si>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</si>
  <si>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</si>
  <si>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</si>
  <si>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</si>
  <si>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</si>
  <si>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</si>
  <si>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</si>
  <si>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</si>
  <si>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</si>
  <si>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</si>
  <si>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</si>
  <si>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</si>
  <si>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</si>
  <si>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</si>
  <si>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</si>
  <si>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</si>
  <si>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</si>
  <si>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</si>
  <si>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</si>
  <si>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</si>
  <si>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</si>
  <si>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</si>
  <si>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</si>
  <si>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</si>
  <si>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</si>
  <si>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</si>
  <si>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</si>
  <si>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</si>
  <si>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</si>
  <si>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</si>
  <si>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</si>
  <si>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</si>
  <si>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</si>
  <si>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</si>
  <si>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</si>
  <si>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</si>
  <si>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</si>
  <si>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</si>
  <si>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</si>
  <si>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</si>
  <si>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</si>
  <si>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</si>
  <si>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</si>
  <si>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</si>
  <si>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</si>
  <si>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</si>
  <si>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</si>
  <si>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</si>
  <si>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</si>
  <si>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</si>
  <si>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</si>
  <si>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</si>
  <si>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</si>
  <si>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</si>
  <si>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</si>
  <si>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</si>
  <si>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</si>
  <si>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</si>
  <si>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</si>
  <si>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</si>
  <si>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</si>
  <si>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</si>
  <si>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</si>
  <si>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</si>
  <si>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</si>
  <si>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</si>
  <si>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</si>
  <si>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</si>
  <si>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</si>
  <si>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</si>
  <si>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</si>
  <si>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</si>
  <si>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</si>
  <si>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</si>
  <si>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</si>
  <si>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</si>
  <si>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</si>
  <si>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</si>
  <si>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</si>
  <si>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</si>
  <si>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</si>
  <si>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</si>
  <si>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</si>
  <si>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</si>
  <si>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</si>
  <si>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</si>
  <si>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</si>
  <si>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</si>
  <si>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</si>
  <si>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</si>
  <si>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</si>
  <si>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</si>
  <si>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</si>
  <si>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</si>
  <si>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</si>
  <si>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</si>
  <si>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</si>
  <si>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</si>
  <si>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</si>
  <si>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</si>
  <si>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</si>
  <si>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</si>
  <si>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</si>
  <si>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</si>
  <si>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</si>
  <si>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</si>
  <si>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</si>
  <si>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</si>
  <si>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</si>
  <si>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</si>
  <si>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</si>
  <si>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</si>
  <si>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</si>
  <si>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</si>
  <si>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</si>
  <si>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</si>
  <si>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</si>
  <si>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</si>
  <si>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</si>
  <si>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</si>
  <si>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</si>
  <si>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</si>
  <si>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</si>
  <si>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</si>
  <si>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</si>
  <si>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</si>
  <si>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</si>
  <si>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</si>
  <si>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</si>
  <si>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</si>
  <si>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</si>
  <si>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</si>
  <si>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</si>
  <si>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</si>
  <si>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</si>
  <si>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</si>
  <si>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</si>
  <si>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</si>
  <si>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</si>
  <si>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</si>
  <si>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</si>
  <si>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</si>
  <si>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</si>
  <si>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</si>
  <si>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</si>
  <si>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</si>
  <si>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</si>
  <si>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</si>
  <si>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</si>
  <si>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</si>
  <si>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</si>
  <si>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</si>
  <si>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</si>
  <si>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</si>
  <si>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</si>
  <si>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</si>
  <si>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</si>
  <si>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</si>
  <si>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</si>
  <si>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</si>
  <si>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</si>
  <si>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</si>
  <si>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</si>
  <si>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</si>
  <si>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</si>
  <si>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</si>
  <si>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</si>
  <si>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</si>
  <si>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</si>
  <si>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</si>
  <si>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</si>
  <si>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</si>
  <si>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</si>
  <si>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</si>
  <si>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</si>
  <si>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</si>
  <si>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</si>
  <si>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</si>
  <si>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</si>
  <si>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</si>
  <si>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</si>
  <si>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</si>
  <si>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</si>
  <si>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</si>
  <si>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</si>
  <si>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</si>
  <si>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</si>
  <si>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</si>
  <si>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</si>
  <si>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</si>
  <si>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</si>
  <si>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</si>
  <si>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</si>
  <si>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</si>
  <si>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</si>
  <si>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</si>
  <si>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</si>
  <si>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</si>
  <si>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</si>
  <si>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</si>
  <si>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</si>
  <si>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</si>
  <si>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</si>
  <si>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</si>
  <si>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</si>
  <si>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</si>
  <si>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</si>
  <si>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</si>
  <si>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</si>
  <si>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</si>
  <si>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</si>
  <si>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</si>
  <si>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</si>
  <si>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</si>
  <si>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</si>
  <si>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</si>
  <si>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</si>
  <si>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</si>
  <si>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</si>
  <si>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</si>
  <si>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</si>
  <si>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</si>
  <si>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</si>
  <si>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</si>
  <si>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</si>
  <si>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</si>
  <si>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</si>
  <si>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</si>
  <si>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</si>
  <si>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</si>
  <si>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</si>
  <si>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</si>
  <si>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</si>
  <si>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</si>
  <si>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</si>
  <si>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</si>
  <si>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</si>
  <si>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</si>
  <si>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</si>
  <si>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</si>
  <si>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</si>
  <si>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</si>
  <si>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</si>
  <si>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</si>
  <si>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</si>
  <si>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</si>
  <si>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</si>
  <si>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</si>
  <si>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</si>
  <si>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</si>
  <si>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</si>
  <si>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</si>
  <si>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</si>
  <si>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</si>
  <si>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</si>
  <si>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</si>
  <si>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</si>
  <si>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</si>
  <si>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</si>
  <si>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</si>
  <si>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</si>
  <si>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</si>
  <si>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</si>
  <si>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</si>
  <si>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</si>
  <si>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</si>
  <si>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</si>
  <si>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</si>
  <si>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</si>
  <si>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</si>
  <si>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</si>
  <si>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</si>
  <si>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</si>
  <si>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</si>
  <si>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</si>
  <si>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</si>
  <si>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</si>
  <si>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</si>
  <si>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</si>
  <si>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</si>
  <si>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</si>
  <si>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</si>
  <si>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</si>
  <si>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</si>
  <si>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</si>
  <si>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</si>
  <si>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</si>
  <si>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</si>
  <si>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</si>
  <si>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</si>
  <si>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</si>
  <si>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</si>
  <si>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</si>
  <si>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</si>
  <si>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</si>
  <si>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</si>
  <si>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</si>
  <si>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</si>
  <si>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</si>
  <si>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</si>
  <si>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</si>
  <si>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</si>
  <si>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</si>
  <si>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</si>
  <si>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</si>
  <si>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</si>
  <si>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</si>
  <si>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</si>
  <si>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</si>
  <si>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</si>
  <si>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</si>
  <si>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</si>
  <si>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</si>
  <si>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</si>
  <si>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</si>
  <si>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</si>
  <si>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</si>
  <si>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</si>
  <si>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</si>
  <si>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</si>
  <si>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</si>
  <si>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</si>
  <si>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</si>
  <si>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</si>
  <si>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</si>
  <si>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</si>
  <si>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</si>
  <si>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</si>
  <si>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</si>
  <si>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</si>
  <si>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</si>
  <si>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</si>
  <si>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</si>
  <si>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</si>
  <si>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</si>
  <si>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</si>
  <si>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</si>
  <si>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</si>
  <si>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</si>
  <si>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</si>
  <si>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</si>
  <si>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</si>
  <si>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</si>
  <si>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</si>
  <si>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</si>
  <si>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</si>
  <si>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</si>
  <si>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</si>
  <si>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</si>
  <si>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</si>
  <si>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</si>
  <si>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</si>
  <si>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</si>
  <si>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</si>
  <si>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</si>
  <si>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</si>
  <si>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</si>
  <si>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</si>
  <si>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</si>
  <si>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</si>
  <si>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</si>
  <si>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</si>
  <si>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</si>
  <si>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</si>
  <si>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</si>
  <si>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</si>
  <si>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</si>
  <si>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</si>
  <si>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</si>
  <si>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</si>
  <si>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</si>
  <si>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</si>
  <si>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</si>
  <si>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</si>
  <si>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</si>
  <si>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</si>
  <si>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</si>
  <si>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</si>
  <si>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</si>
  <si>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</si>
  <si>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</si>
  <si>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</si>
  <si>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</si>
  <si>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</si>
  <si>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</si>
  <si>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</si>
  <si>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</si>
  <si>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</si>
  <si>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</si>
  <si>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</si>
  <si>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</si>
  <si>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</si>
  <si>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</si>
  <si>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</si>
  <si>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</si>
  <si>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</si>
  <si>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</si>
  <si>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</si>
  <si>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</si>
  <si>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</si>
  <si>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</si>
  <si>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</si>
  <si>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</si>
  <si>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</si>
  <si>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</si>
  <si>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</si>
  <si>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</si>
  <si>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</si>
  <si>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</si>
  <si>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</si>
  <si>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</si>
  <si>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</si>
  <si>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</si>
  <si>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</si>
  <si>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</si>
  <si>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</si>
  <si>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</si>
  <si>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</si>
  <si>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</si>
  <si>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</si>
  <si>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</si>
  <si>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</si>
  <si>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</si>
  <si>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</si>
  <si>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</si>
  <si>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</si>
  <si>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</si>
  <si>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</si>
  <si>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</si>
  <si>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</si>
  <si>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</si>
  <si>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</si>
  <si>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</si>
  <si>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</si>
  <si>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</si>
  <si>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</si>
  <si>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</si>
  <si>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</si>
  <si>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</si>
  <si>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</si>
  <si>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</si>
  <si>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</si>
  <si>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</si>
  <si>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</si>
  <si>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</si>
  <si>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</si>
  <si>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</si>
  <si>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</si>
  <si>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</si>
  <si>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</si>
  <si>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</si>
  <si>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</si>
  <si>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</si>
  <si>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</si>
  <si>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</si>
  <si>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</si>
  <si>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</si>
  <si>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</si>
  <si>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</si>
  <si>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</si>
  <si>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</si>
  <si>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</si>
  <si>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</si>
  <si>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</si>
  <si>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</si>
  <si>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</si>
  <si>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</si>
  <si>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</si>
  <si>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</si>
  <si>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</si>
  <si>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</si>
  <si>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</si>
  <si>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</si>
  <si>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</si>
  <si>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</si>
  <si>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</si>
  <si>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</si>
  <si>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</si>
  <si>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</si>
  <si>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</si>
  <si>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</si>
  <si>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</si>
  <si>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</si>
  <si>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</si>
  <si>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</si>
  <si>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</si>
  <si>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</si>
  <si>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</si>
  <si>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</si>
  <si>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</si>
  <si>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</si>
  <si>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</si>
  <si>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</si>
  <si>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</si>
  <si>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</si>
  <si>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</si>
  <si>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</si>
  <si>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</si>
  <si>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</si>
  <si>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</si>
  <si>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</si>
  <si>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</si>
  <si>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</si>
  <si>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</si>
  <si>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</si>
  <si>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</si>
  <si>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</si>
  <si>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</si>
  <si>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</si>
  <si>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</si>
  <si>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</si>
  <si>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</si>
  <si>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</si>
  <si>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</si>
  <si>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</si>
  <si>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</si>
  <si>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</si>
  <si>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</si>
  <si>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</si>
  <si>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</si>
  <si>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</si>
  <si>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</si>
  <si>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</si>
  <si>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</si>
  <si>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</si>
  <si>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</si>
  <si>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</si>
  <si>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</si>
  <si>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</si>
  <si>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</si>
  <si>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</si>
  <si>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</si>
  <si>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</si>
  <si>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</si>
  <si>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</si>
  <si>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</si>
  <si>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</si>
  <si>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</si>
  <si>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</si>
  <si>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</si>
  <si>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</si>
  <si>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</si>
  <si>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</si>
  <si>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</si>
  <si>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</si>
  <si>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</si>
  <si>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</si>
  <si>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</si>
  <si>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</si>
  <si>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</si>
  <si>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</si>
  <si>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</si>
  <si>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</si>
  <si>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</si>
  <si>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</si>
  <si>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</si>
  <si>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</si>
  <si>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</si>
  <si>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</si>
  <si>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</si>
  <si>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</si>
  <si>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</si>
  <si>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</si>
  <si>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</si>
  <si>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</si>
  <si>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</si>
  <si>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</si>
  <si>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</si>
  <si>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</si>
  <si>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</si>
  <si>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</si>
  <si>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</si>
  <si>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</si>
  <si>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</si>
  <si>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</si>
  <si>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</si>
  <si>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</si>
  <si>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</si>
  <si>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</si>
  <si>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</si>
  <si>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</si>
  <si>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</si>
  <si>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</si>
  <si>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</si>
  <si>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</si>
  <si>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</si>
  <si>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</si>
  <si>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</si>
  <si>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</si>
  <si>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</si>
  <si>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</si>
  <si>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</si>
  <si>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</si>
  <si>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</si>
  <si>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</si>
  <si>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</si>
  <si>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</si>
  <si>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</si>
  <si>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</si>
  <si>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</si>
  <si>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</si>
  <si>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</si>
  <si>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</si>
  <si>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</si>
  <si>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</si>
  <si>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</si>
  <si>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</si>
  <si>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</si>
  <si>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</si>
  <si>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</si>
  <si>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</si>
  <si>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</si>
  <si>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</si>
  <si>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</si>
  <si>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</si>
  <si>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</si>
  <si>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</si>
  <si>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</si>
  <si>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</si>
  <si>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</si>
  <si>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</si>
  <si>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</si>
  <si>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</si>
  <si>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</si>
  <si>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</si>
  <si>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</si>
  <si>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</si>
  <si>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</si>
  <si>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</si>
  <si>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</si>
  <si>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</si>
  <si>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</si>
  <si>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</si>
  <si>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</si>
  <si>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</si>
  <si>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</si>
  <si>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</si>
  <si>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</si>
  <si>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</si>
  <si>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</si>
  <si>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</si>
  <si>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</si>
  <si>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</si>
  <si>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</si>
  <si>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</si>
  <si>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</si>
  <si>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</si>
  <si>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</si>
  <si>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</si>
  <si>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</si>
  <si>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</si>
  <si>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</si>
  <si>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</si>
  <si>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</si>
  <si>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</si>
  <si>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</si>
  <si>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</si>
  <si>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</si>
  <si>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</si>
  <si>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</si>
  <si>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</si>
  <si>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</si>
  <si>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</si>
  <si>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</si>
  <si>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</si>
  <si>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</si>
  <si>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</si>
  <si>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</si>
  <si>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</si>
  <si>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</si>
  <si>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</si>
  <si>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</si>
  <si>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</si>
  <si>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</si>
  <si>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</si>
  <si>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</si>
  <si>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</si>
  <si>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</si>
  <si>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</si>
  <si>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</si>
  <si>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</si>
  <si>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</si>
  <si>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</si>
  <si>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</si>
  <si>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</si>
  <si>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</si>
  <si>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</si>
  <si>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</si>
  <si>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</si>
  <si>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</si>
  <si>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</si>
  <si>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</si>
  <si>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</si>
  <si>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</si>
  <si>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</si>
  <si>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</si>
  <si>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</si>
  <si>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</si>
  <si>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</si>
  <si>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</si>
  <si>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</si>
  <si>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</si>
  <si>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</si>
  <si>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</si>
  <si>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</si>
  <si>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</si>
  <si>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</si>
  <si>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</si>
  <si>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</si>
  <si>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</si>
  <si>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</si>
  <si>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</si>
  <si>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</si>
  <si>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</si>
  <si>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</si>
  <si>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</si>
  <si>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</si>
  <si>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</si>
  <si>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</si>
  <si>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</si>
  <si>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</si>
  <si>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</si>
  <si>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</si>
  <si>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</si>
  <si>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</si>
  <si>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</si>
  <si>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</si>
  <si>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</si>
  <si>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</si>
  <si>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</si>
  <si>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</si>
  <si>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</si>
  <si>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</si>
  <si>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</si>
  <si>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</si>
  <si>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</si>
  <si>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</si>
  <si>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</si>
  <si>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</si>
  <si>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</si>
  <si>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</si>
  <si>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</si>
  <si>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</si>
  <si>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</si>
  <si>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</si>
  <si>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</si>
  <si>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</si>
  <si>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</si>
  <si>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</si>
  <si>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</si>
  <si>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</si>
  <si>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</si>
  <si>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</si>
  <si>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</si>
  <si>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</si>
  <si>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</si>
  <si>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</si>
  <si>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</si>
  <si>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</si>
  <si>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</si>
  <si>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</si>
  <si>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</si>
  <si>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</si>
  <si>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</si>
  <si>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</si>
  <si>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</si>
  <si>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</si>
  <si>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</si>
  <si>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</si>
  <si>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</si>
  <si>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</si>
  <si>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</si>
  <si>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</si>
  <si>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</si>
  <si>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</si>
  <si>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</si>
  <si>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</si>
  <si>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</si>
  <si>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</si>
  <si>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</si>
  <si>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</si>
  <si>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</si>
  <si>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</si>
  <si>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</si>
  <si>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</si>
  <si>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</si>
  <si>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</si>
  <si>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</si>
  <si>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</si>
  <si>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</si>
  <si>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</si>
  <si>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</si>
  <si>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</si>
  <si>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</si>
  <si>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</si>
  <si>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</si>
  <si>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</si>
  <si>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</si>
  <si>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</si>
  <si>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</si>
  <si>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</si>
  <si>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</si>
  <si>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</si>
  <si>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</si>
  <si>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</si>
  <si>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</si>
  <si>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</si>
  <si>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</si>
  <si>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</si>
  <si>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</si>
  <si>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</si>
  <si>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</si>
  <si>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</si>
  <si>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</si>
  <si>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</si>
  <si>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</si>
  <si>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</si>
  <si>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</si>
  <si>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</si>
  <si>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</si>
  <si>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</si>
  <si>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</si>
  <si>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</si>
  <si>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</si>
  <si>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</si>
  <si>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</si>
  <si>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</si>
  <si>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</si>
  <si>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</si>
  <si>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</si>
  <si>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</si>
  <si>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</si>
  <si>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</si>
  <si>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</si>
  <si>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</si>
  <si>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</si>
  <si>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</si>
  <si>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</si>
  <si>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</si>
  <si>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</si>
  <si>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</si>
  <si>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</si>
  <si>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</si>
  <si>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</si>
  <si>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</si>
  <si>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</si>
  <si>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</si>
  <si>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</si>
  <si>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</si>
  <si>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</si>
  <si>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</si>
  <si>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</si>
  <si>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</si>
  <si>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</si>
  <si>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</si>
  <si>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</si>
  <si>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</si>
  <si>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</si>
  <si>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</si>
  <si>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</si>
  <si>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</si>
  <si>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</si>
  <si>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</si>
  <si>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</si>
  <si>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</si>
  <si>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</si>
  <si>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</si>
  <si>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</si>
  <si>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</si>
  <si>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</si>
  <si>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</si>
  <si>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</si>
  <si>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</si>
  <si>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</si>
  <si>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</si>
  <si>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</si>
  <si>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</si>
  <si>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</si>
  <si>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</si>
  <si>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</si>
  <si>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</si>
  <si>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</si>
  <si>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</si>
  <si>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</si>
  <si>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</si>
  <si>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</si>
  <si>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</si>
  <si>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</si>
  <si>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</si>
  <si>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</si>
  <si>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</si>
  <si>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</si>
  <si>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</si>
  <si>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</si>
  <si>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</si>
  <si>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</si>
  <si>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</si>
  <si>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</si>
  <si>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</si>
  <si>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</si>
  <si>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</si>
  <si>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</si>
  <si>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</si>
  <si>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</si>
  <si>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</si>
  <si>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</si>
  <si>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</si>
  <si>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</si>
  <si>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</si>
  <si>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</si>
  <si>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</si>
  <si>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</si>
  <si>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</si>
  <si>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</si>
  <si>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</si>
  <si>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</si>
  <si>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</si>
  <si>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</si>
  <si>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</si>
  <si>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</si>
  <si>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</si>
  <si>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</si>
  <si>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</si>
  <si>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</si>
  <si>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</si>
  <si>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</si>
  <si>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</si>
  <si>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</si>
  <si>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</si>
  <si>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</si>
  <si>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</si>
  <si>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</si>
  <si>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</si>
  <si>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</si>
  <si>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</si>
  <si>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</si>
  <si>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</si>
  <si>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</si>
  <si>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</si>
  <si>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</si>
  <si>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</si>
  <si>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</si>
  <si>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</si>
  <si>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</si>
  <si>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</si>
  <si>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</si>
  <si>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</si>
  <si>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</si>
  <si>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</si>
  <si>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</si>
  <si>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</si>
  <si>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</si>
  <si>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</si>
  <si>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</si>
  <si>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</si>
  <si>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</si>
  <si>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</si>
  <si>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</si>
  <si>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</si>
  <si>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</si>
  <si>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</si>
  <si>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</si>
  <si>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</si>
  <si>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</si>
  <si>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</si>
  <si>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</si>
  <si>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</si>
  <si>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</si>
  <si>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</si>
  <si>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</si>
  <si>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</si>
  <si>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</si>
  <si>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</si>
  <si>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</si>
  <si>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</si>
  <si>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</si>
  <si>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</si>
  <si>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</si>
  <si>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</si>
  <si>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</si>
  <si>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</si>
  <si>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</si>
  <si>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</si>
  <si>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</si>
  <si>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</si>
  <si>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</si>
  <si>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</si>
  <si>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</si>
  <si>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</si>
  <si>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</si>
  <si>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</si>
  <si>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</si>
  <si>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</si>
  <si>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</si>
  <si>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</si>
  <si>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</si>
  <si>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</si>
  <si>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</si>
  <si>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</si>
  <si>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</si>
  <si>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</si>
  <si>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</si>
  <si>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</si>
  <si>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</si>
  <si>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</si>
  <si>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</si>
  <si>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</si>
  <si>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</si>
  <si>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</si>
  <si>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</si>
  <si>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</si>
  <si>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RC CARD - YOUNIS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</si>
  <si>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</si>
  <si>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</si>
  <si>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</si>
  <si>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</si>
  <si>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</si>
  <si>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</si>
  <si>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</si>
  <si>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</si>
  <si>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</si>
  <si>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</si>
  <si>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</si>
  <si>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</si>
  <si>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</si>
  <si>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</si>
  <si>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</si>
  <si>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</si>
  <si>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</si>
  <si>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</si>
  <si>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</si>
  <si>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</si>
  <si>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</si>
  <si>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</si>
  <si>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</si>
  <si>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</si>
  <si>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</si>
  <si>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</si>
  <si>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</si>
  <si>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</si>
  <si>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</si>
  <si>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</si>
  <si>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</si>
  <si>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</si>
  <si>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</si>
  <si>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</si>
  <si>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</si>
  <si>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</si>
  <si>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</si>
  <si>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</si>
  <si>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</si>
  <si>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</si>
  <si>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</si>
  <si>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</si>
  <si>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</si>
  <si>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</si>
  <si>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</si>
  <si>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</si>
  <si>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</si>
  <si>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</si>
  <si>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</si>
  <si>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</si>
  <si>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</si>
  <si>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</si>
  <si>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</si>
  <si>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</si>
  <si>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</si>
  <si>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</si>
  <si>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</si>
  <si>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</si>
  <si>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</si>
  <si>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</si>
  <si>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</si>
  <si>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</si>
  <si>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</si>
  <si>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</si>
  <si>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</si>
  <si>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</si>
  <si>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</si>
  <si>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</si>
  <si>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</si>
  <si>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</si>
  <si>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</si>
  <si>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</si>
  <si>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</si>
  <si>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</si>
  <si>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</si>
  <si>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</si>
  <si>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</si>
  <si>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</si>
  <si>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</si>
  <si>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</si>
  <si>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</si>
  <si>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</si>
  <si>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</si>
  <si>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</si>
  <si>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</si>
  <si>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</si>
  <si>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</si>
  <si>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</si>
  <si>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</si>
  <si>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</si>
  <si>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</si>
  <si>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</si>
  <si>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</si>
  <si>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</si>
  <si>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</si>
  <si>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</si>
  <si>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</si>
  <si>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</si>
  <si>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</si>
  <si>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</si>
  <si>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</si>
  <si>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</si>
  <si>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</si>
  <si>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</si>
  <si>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</si>
  <si>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</si>
  <si>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</si>
  <si>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</si>
  <si>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</si>
  <si>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</si>
  <si>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</si>
  <si>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</si>
  <si>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</si>
  <si>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</si>
  <si>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</si>
  <si>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</si>
  <si>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</si>
  <si>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</si>
  <si>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</si>
  <si>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</si>
  <si>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</si>
  <si>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</si>
  <si>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</si>
  <si>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</si>
  <si>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</si>
  <si>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</si>
  <si>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</si>
  <si>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</si>
  <si>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</si>
  <si>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</si>
  <si>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</si>
  <si>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</si>
  <si>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</si>
  <si>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</si>
  <si>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</si>
  <si>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</si>
  <si>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</si>
  <si>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</si>
  <si>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</si>
  <si>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</si>
  <si>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</si>
  <si>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</si>
  <si>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</si>
  <si>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</si>
  <si>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</si>
  <si>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</si>
  <si>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</si>
  <si>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</si>
  <si>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</si>
  <si>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</si>
  <si>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</si>
  <si>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</si>
  <si>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</si>
  <si>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</si>
  <si>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</si>
  <si>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</si>
  <si>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</si>
  <si>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</si>
  <si>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</si>
  <si>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</si>
  <si>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</si>
  <si>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</si>
  <si>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</si>
  <si>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</si>
  <si>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</si>
  <si>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</si>
  <si>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</si>
  <si>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</si>
  <si>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</si>
  <si>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</si>
  <si>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</si>
  <si>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</si>
  <si>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</si>
  <si>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</si>
  <si>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</si>
  <si>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</si>
  <si>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</si>
  <si>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</si>
  <si>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</si>
  <si>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</si>
  <si>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</si>
  <si>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</si>
  <si>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</si>
  <si>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</si>
  <si>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</si>
  <si>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</si>
  <si>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</si>
  <si>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</si>
  <si>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</si>
  <si>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</si>
  <si>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</si>
  <si>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</si>
  <si>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</si>
  <si>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</si>
  <si>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</si>
  <si>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</si>
  <si>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</si>
  <si>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</si>
  <si>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</si>
  <si>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</si>
  <si>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</si>
  <si>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</si>
  <si>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</si>
  <si>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</si>
  <si>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</si>
  <si>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</si>
  <si>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</si>
  <si>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</si>
  <si>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</si>
  <si>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</si>
  <si>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</si>
  <si>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</si>
  <si>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</si>
  <si>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</si>
  <si>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</si>
  <si>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</si>
  <si>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</si>
  <si>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</si>
  <si>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</si>
  <si>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</si>
  <si>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</si>
  <si>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</si>
  <si>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</si>
  <si>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</si>
  <si>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</si>
  <si>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</si>
  <si>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</si>
  <si>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</si>
  <si>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</si>
  <si>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</si>
  <si>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</si>
  <si>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</si>
  <si>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</si>
  <si>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</si>
  <si>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</si>
  <si>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</si>
  <si>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</si>
  <si>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</si>
  <si>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</si>
  <si>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</si>
  <si>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</si>
  <si>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</si>
  <si>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</si>
  <si>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</si>
  <si>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</si>
  <si>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</si>
  <si>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</si>
  <si>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</si>
  <si>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</si>
  <si>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</si>
  <si>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</si>
  <si>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</si>
  <si>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</si>
  <si>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</si>
  <si>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</si>
  <si>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</si>
  <si>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</si>
  <si>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</si>
  <si>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</si>
  <si>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</si>
  <si>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</si>
  <si>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</si>
  <si>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</si>
  <si>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</si>
  <si>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</si>
  <si>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</si>
  <si>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</si>
  <si>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</si>
  <si>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</si>
  <si>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</si>
  <si>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</si>
  <si>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</si>
  <si>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</si>
  <si>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</si>
  <si>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</si>
  <si>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</si>
  <si>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</si>
  <si>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</si>
  <si>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</si>
  <si>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</si>
  <si>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</si>
  <si>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</si>
  <si>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</si>
  <si>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</si>
  <si>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</si>
  <si>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</si>
  <si>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</si>
  <si>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</si>
  <si>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</si>
  <si>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</si>
  <si>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</si>
  <si>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</si>
  <si>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</si>
  <si>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</si>
  <si>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</si>
  <si>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</si>
  <si>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</si>
  <si>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</si>
  <si>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</si>
  <si>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</si>
  <si>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</si>
  <si>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</si>
  <si>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</si>
  <si>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</si>
  <si>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</si>
  <si>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</si>
  <si>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</si>
  <si>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</si>
  <si>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</si>
  <si>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</si>
  <si>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</si>
  <si>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</si>
  <si>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</si>
  <si>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</si>
  <si>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</si>
  <si>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</si>
  <si>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</si>
  <si>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</si>
  <si>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</si>
  <si>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</si>
  <si>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</si>
  <si>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</si>
  <si>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</si>
  <si>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</si>
  <si>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</si>
  <si>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</si>
  <si>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</si>
  <si>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</si>
  <si>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</si>
  <si>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</si>
  <si>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</si>
  <si>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</si>
  <si>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</si>
  <si>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</si>
  <si>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</si>
  <si>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</si>
  <si>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</si>
  <si>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</si>
  <si>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</si>
  <si>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</si>
  <si>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</si>
  <si>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</si>
  <si>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</si>
  <si>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</si>
  <si>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</si>
  <si>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</si>
  <si>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</si>
  <si>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</si>
  <si>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</si>
  <si>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</si>
  <si>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</si>
  <si>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</si>
  <si>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</si>
  <si>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</si>
  <si>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</si>
  <si>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</si>
  <si>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</si>
  <si>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</si>
  <si>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</si>
  <si>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</si>
  <si>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</si>
  <si>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</si>
  <si>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</si>
  <si>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</si>
  <si>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</si>
  <si>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</si>
  <si>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</si>
  <si>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</si>
  <si>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</si>
  <si>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</si>
  <si>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</si>
  <si>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</si>
  <si>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</si>
  <si>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</si>
  <si>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</si>
  <si>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</si>
  <si>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</si>
  <si>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</si>
  <si>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</si>
  <si>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</si>
  <si>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</si>
  <si>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</si>
  <si>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</si>
  <si>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</si>
  <si>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</si>
  <si>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</si>
  <si>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</si>
  <si>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</si>
  <si>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</si>
  <si>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</si>
  <si>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</si>
  <si>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</si>
  <si>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</si>
  <si>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</si>
  <si>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</si>
  <si>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</si>
  <si>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</si>
  <si>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</si>
  <si>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</si>
  <si>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</si>
  <si>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</si>
  <si>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</si>
  <si>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</si>
  <si>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</si>
  <si>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</si>
  <si>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</si>
  <si>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</si>
  <si>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</si>
  <si>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</si>
  <si>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</si>
  <si>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</si>
  <si>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</si>
  <si>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</si>
  <si>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</si>
  <si>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</si>
  <si>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</si>
  <si>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</si>
  <si>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</si>
  <si>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</si>
  <si>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</si>
  <si>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</si>
  <si>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</si>
  <si>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</si>
  <si>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</si>
  <si>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</si>
  <si>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</si>
  <si>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</si>
  <si>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</si>
  <si>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</si>
  <si>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</si>
  <si>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</si>
  <si>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</si>
  <si>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</si>
  <si>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</si>
  <si>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</si>
  <si>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</si>
  <si>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</si>
  <si>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</si>
  <si>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</si>
  <si>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</si>
  <si>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</si>
  <si>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</si>
  <si>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</si>
  <si>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</si>
  <si>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</si>
  <si>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</si>
  <si>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</si>
  <si>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</si>
  <si>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</si>
  <si>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</si>
  <si>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</si>
  <si>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</si>
  <si>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</si>
  <si>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</si>
  <si>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</si>
  <si>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</si>
  <si>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</si>
  <si>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</si>
  <si>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</si>
  <si>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</si>
  <si>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</si>
  <si>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</si>
  <si>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</si>
  <si>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</si>
  <si>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</si>
  <si>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</si>
  <si>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</si>
  <si>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</si>
  <si>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</si>
  <si>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</si>
  <si>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</si>
  <si>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</si>
  <si>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</si>
  <si>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</si>
  <si>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</si>
  <si>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</si>
  <si>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</si>
  <si>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</si>
  <si>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</si>
  <si>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</si>
  <si>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</si>
  <si>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</si>
  <si>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</si>
  <si>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</si>
  <si>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</si>
  <si>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</si>
  <si>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</si>
  <si>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</si>
  <si>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</si>
  <si>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</si>
  <si>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</si>
  <si>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</si>
  <si>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</si>
  <si>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</si>
  <si>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</si>
  <si>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</si>
  <si>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</si>
  <si>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</si>
  <si>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</si>
  <si>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</si>
  <si>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</si>
  <si>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</si>
  <si>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</si>
  <si>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</si>
  <si>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</si>
  <si>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</si>
  <si>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</si>
  <si>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</si>
  <si>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</si>
  <si>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</si>
  <si>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</si>
  <si>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</si>
  <si>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</si>
  <si>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</si>
  <si>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</si>
  <si>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</si>
  <si>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</si>
  <si>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</si>
  <si>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</si>
  <si>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</si>
  <si>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</si>
  <si>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</si>
  <si>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</si>
  <si>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</si>
  <si>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</si>
  <si>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</si>
  <si>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</si>
  <si>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</si>
  <si>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</si>
  <si>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</si>
  <si>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</si>
  <si>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</si>
  <si>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</si>
  <si>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</si>
  <si>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</si>
  <si>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</si>
  <si>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</si>
  <si>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</si>
  <si>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BH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</si>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</sst>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60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2" fillId="35" borderId="0" xfId="0" applyFont="1" applyFill="1" applyAlignment="1">
      <alignment horizontal="center"/>
    </xf>
    <xf numFmtId="0" fontId="0" fillId="36" borderId="0" xfId="0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0" borderId="0" xfId="0" applyNumberFormat="1" applyFont="1" applyAlignment="1" applyProtection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0" fontId="0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4" fontId="0" fillId="0" borderId="0" xfId="0" applyNumberFormat="1" applyFont="1" applyAlignment="1">
      <alignment horizontal="center" vertical="center"/>
    </xf>
    <xf numFmtId="0" fontId="0" fillId="0" borderId="0" xfId="0" applyNumberFormat="1" applyAlignment="1">
      <alignment horizontal="center" vertic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3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69" totalsRowShown="0" headerRowDxfId="72" dataDxfId="71">
  <autoFilter ref="A1:R869" xr:uid="{97E63F84-BDFB-4C38-B1FD-28318E0D1D3F}"/>
  <tableColumns count="18">
    <tableColumn id="1" xr3:uid="{DEBB3640-E433-4779-93BC-95B8FB492623}" name="S.NO" dataDxfId="70">
      <calculatedColumnFormula>ROW()-1</calculatedColumnFormula>
    </tableColumn>
    <tableColumn id="13" xr3:uid="{86C56767-9BFE-4154-9FC1-CEA7C183815E}" name="APPLICATION NO." dataDxfId="69"/>
    <tableColumn id="2" xr3:uid="{6ABB4EDF-0F58-40D7-979C-D37D8D91A6BC}" name="CHASSIS" dataDxfId="68"/>
    <tableColumn id="17" xr3:uid="{0BBF5E4D-B8B0-4055-8D5F-3A6BB4D4A4DA}" name="ENGINE NO." dataDxfId="67"/>
    <tableColumn id="3" xr3:uid="{285CC4F4-4CD1-4FFC-A101-ED051DA40438}" name="NAME" dataDxfId="66"/>
    <tableColumn id="4" xr3:uid="{28DC8B59-EFA0-4502-86B0-033B0B60D615}" name="MODEL" dataDxfId="65"/>
    <tableColumn id="14" xr3:uid="{B25F5A6A-3B72-4772-B75C-D86670F35131}" name="COLOR" dataDxfId="64"/>
    <tableColumn id="15" xr3:uid="{22F5E9AE-FC4E-4EBD-ADBF-5C93F85B331F}" name="RTO" dataDxfId="63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62"/>
    <tableColumn id="6" xr3:uid="{9942893D-0703-456F-8072-CD136C7B4052}" name="DATE OF REG" dataDxfId="61"/>
    <tableColumn id="12" xr3:uid="{CC83ADC7-1924-4CE0-83FB-B2DFBEF7A193}" name="CONTACT" dataDxfId="60"/>
    <tableColumn id="7" xr3:uid="{3AD2B0D9-D7A5-46E0-B596-F6B7F1CDDEA6}" name="DSE" dataDxfId="59"/>
    <tableColumn id="8" xr3:uid="{475221AE-3FDC-4CED-B76C-4DA1DD4F8AD9}" name="RC RECEIVED BY" dataDxfId="58"/>
    <tableColumn id="9" xr3:uid="{F594ED7D-6966-47AC-A5C3-25754B73A3CC}" name="DATE" dataDxfId="57"/>
    <tableColumn id="10" xr3:uid="{452E3ECD-E927-4EC7-A8A2-4A866233750E}" name="FASTTAG" dataDxfId="56"/>
    <tableColumn id="11" xr3:uid="{CFEE5573-D700-4B26-B382-BCA8210C54C2}" name="DATED" dataDxfId="55"/>
    <tableColumn id="16" xr3:uid="{07363D0C-2FBE-403B-A617-BDB5768FAC43}" name="FT STATUS" dataDxfId="54"/>
    <tableColumn id="19" xr3:uid="{9456CF5E-F4D1-41FB-BAEA-332735A8583D}" name="REMARKS" dataDxfId="5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2" dataDxfId="50" headerRowBorderDxfId="51" tableBorderDxfId="49">
  <autoFilter ref="A1:U1475" xr:uid="{D370B51C-D08F-47BE-AAB1-EC19B1CB5D0A}"/>
  <tableColumns count="21">
    <tableColumn id="1" xr3:uid="{F2AB5776-2910-4922-8F7A-A29B241AFBFB}" name="S.NO" dataDxfId="48"/>
    <tableColumn id="2" xr3:uid="{BD6FD91D-E737-4D6A-B00A-D80EC1A61CA8}" name="DATE" dataDxfId="47"/>
    <tableColumn id="3" xr3:uid="{523BFE7D-9361-4DD0-92B3-69A6F8F0C3E9}" name="CUSTOMER NAME" dataDxfId="46"/>
    <tableColumn id="4" xr3:uid="{D470DE80-5E84-419F-ABF9-6269311CD45E}" name="MARUTI" dataDxfId="45"/>
    <tableColumn id="5" xr3:uid="{89C10B6F-C9EE-4AD2-A610-262BFCF29B4E}" name="MODEL OR VARIANT" dataDxfId="44"/>
    <tableColumn id="6" xr3:uid="{9CB69D3E-706F-4EED-A315-D5399BE00D5C}" name="RTO" dataDxfId="43"/>
    <tableColumn id="7" xr3:uid="{2FB81954-C8D6-43B3-92E2-574B07BBFCCB}" name="VEHICLE CLASS" dataDxfId="42"/>
    <tableColumn id="8" xr3:uid="{1892A735-1187-4E6C-8786-9B173567AAD2}" name="REG. NO" dataDxfId="41"/>
    <tableColumn id="9" xr3:uid="{AFB37B1C-50E7-42BE-BC49-27B4D7E4E829}" name="VIN" dataDxfId="40"/>
    <tableColumn id="10" xr3:uid="{A3569458-1056-4E90-B079-94E3430A5743}" name="APPLICATION NO." dataDxfId="39"/>
    <tableColumn id="11" xr3:uid="{E25E7D92-4EC4-485D-93B8-A15B0538604A}" name="RTO AMMOUNT " dataDxfId="38"/>
    <tableColumn id="12" xr3:uid="{DB89535A-8F36-4EF8-B62C-86ABB378F51F}" name="HSRP" dataDxfId="37"/>
    <tableColumn id="13" xr3:uid="{6BD25826-954F-49C4-BE9E-24422B1B85BE}" name="ACCOUNT" dataDxfId="36"/>
    <tableColumn id="14" xr3:uid="{974951AE-D99C-487A-9DB5-065DA8DD25D4}" name="RM NAME" dataDxfId="35"/>
    <tableColumn id="15" xr3:uid="{FA4014CD-BE60-4554-9D6D-C0CC54B2CA05}" name="PAYMENT MODE" dataDxfId="34"/>
    <tableColumn id="16" xr3:uid="{84C48B22-72C9-4BD7-86AD-D8ECD87C3A64}" name="FILE PUNCHED BY" dataDxfId="33"/>
    <tableColumn id="17" xr3:uid="{87E46E14-6F6C-41D4-BBF8-CEAFAFE4CA8F}" name="PAYMENT ID" dataDxfId="32"/>
    <tableColumn id="18" xr3:uid="{0F2CD467-C868-4769-B436-AE2A25413B52}" name="RC STATUS" dataDxfId="31"/>
    <tableColumn id="19" xr3:uid="{0A9FDBF9-6418-4F2B-8B46-BE05C8150A04}" name="RC GIVEN DATE" dataDxfId="30"/>
    <tableColumn id="20" xr3:uid="{3A50F2B6-47D6-4A09-AA43-188FC568EA57}" name="FASTTAG ISSUE" dataDxfId="29"/>
    <tableColumn id="21" xr3:uid="{E4802D5D-D65F-42D3-B57E-E27729185964}" name="FASTTAG ISSUE DATE " dataDxfId="2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3" totalsRowShown="0" headerRowDxfId="82" dataDxfId="81">
  <autoFilter ref="A2:H573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80"/>
    <tableColumn id="11" xr3:uid="{7AA66E15-5D81-45A6-A480-BC2F7EFDEB4C}" name="Name" dataDxfId="79"/>
    <tableColumn id="10" xr3:uid="{DA1D923C-25B3-4F76-823C-435E6464FF55}" name="Contact" dataDxfId="78"/>
    <tableColumn id="2" xr3:uid="{5FEBD558-5EB7-4421-BA25-DCAC1134B168}" name="Barcode No." dataDxfId="77"/>
    <tableColumn id="12" xr3:uid="{77758C8B-F2C8-47C0-B104-570729F9693B}" name="Reg Num" dataDxfId="76"/>
    <tableColumn id="5" xr3:uid="{9AC97A3F-3009-4A59-ACCF-A178780E6F61}" name="Date" dataDxfId="75"/>
    <tableColumn id="7" xr3:uid="{82C8F4C5-8489-4228-83CC-0B9666328CDD}" name="CHANNEL" dataDxfId="74"/>
    <tableColumn id="8" xr3:uid="{DDF1FC61-A0D6-46E9-9515-6DDC5AB1E932}" name="Status" dataDxfId="7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27" dataDxfId="26">
  <autoFilter ref="A2:I15" xr:uid="{74ED0DA7-B29F-4043-B63E-2DC322D6021E}"/>
  <tableColumns count="9">
    <tableColumn id="1" xr3:uid="{245016D5-DEB3-4F3E-B449-3096C2EF947B}" name="S.No." dataDxfId="25">
      <calculatedColumnFormula>ROW()-2</calculatedColumnFormula>
    </tableColumn>
    <tableColumn id="2" xr3:uid="{77ED4F47-8FDC-4F18-AB35-3830D899313B}" name="Dated" dataDxfId="24"/>
    <tableColumn id="3" xr3:uid="{67393A8B-58A2-4A4E-AA68-362B9B4F4E28}" name="Vehicle Num." dataDxfId="23"/>
    <tableColumn id="4" xr3:uid="{2C031EFD-E44B-468B-BEF0-3C97412F5E2E}" name="Name" dataDxfId="22"/>
    <tableColumn id="5" xr3:uid="{73873638-799E-44F5-B857-93DAE5E0F2FF}" name="Payment Mode" dataDxfId="21"/>
    <tableColumn id="6" xr3:uid="{BFB6E8F7-43C7-4B39-8FF0-E41A5EA5B2D3}" name="Trans Id." dataDxfId="20"/>
    <tableColumn id="8" xr3:uid="{3B1BF0B9-13BC-4A4E-B215-A3056576D199}" name="Trans. Date" dataDxfId="19"/>
    <tableColumn id="9" xr3:uid="{F64CF3FC-8352-46AE-80D1-01DDCE0247AC}" name="Amount" dataDxfId="18"/>
    <tableColumn id="7" xr3:uid="{22AF1F96-D5EA-48BA-A958-A42C203B5287}" name="Remarks" dataDxfId="1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37"/>
  <sheetViews>
    <sheetView tabSelected="1" topLeftCell="A845" zoomScaleNormal="100" workbookViewId="0">
      <selection activeCell="E873" sqref="E873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6451</v>
      </c>
      <c r="C82" s="21" t="s">
        <v>6448</v>
      </c>
      <c r="D82" s="21" t="s">
        <v>6712</v>
      </c>
      <c r="E82" s="21" t="s">
        <v>6450</v>
      </c>
      <c r="F82" s="21" t="s">
        <v>98</v>
      </c>
      <c r="G82" s="21" t="s">
        <v>197</v>
      </c>
      <c r="H82" s="21" t="str">
        <f t="shared" si="3"/>
        <v>SHOPIAN</v>
      </c>
      <c r="I82" s="21" t="s">
        <v>6449</v>
      </c>
      <c r="J82" s="22">
        <v>45976</v>
      </c>
      <c r="K82" s="21">
        <v>6005447751</v>
      </c>
      <c r="L82" s="21" t="s">
        <v>6452</v>
      </c>
      <c r="M82" s="23" t="s">
        <v>6720</v>
      </c>
      <c r="N82" s="22">
        <v>45994</v>
      </c>
      <c r="O82" s="21" t="s">
        <v>23</v>
      </c>
      <c r="P82" s="24">
        <v>45994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10869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6553</v>
      </c>
      <c r="C106" s="21" t="s">
        <v>6556</v>
      </c>
      <c r="D106" s="21"/>
      <c r="E106" s="21" t="s">
        <v>6557</v>
      </c>
      <c r="F106" s="21" t="s">
        <v>98</v>
      </c>
      <c r="G106" s="21" t="s">
        <v>197</v>
      </c>
      <c r="H106" s="21" t="str">
        <f t="shared" si="3"/>
        <v>SHOPIAN</v>
      </c>
      <c r="I106" s="21" t="s">
        <v>6560</v>
      </c>
      <c r="J106" s="22">
        <v>45981</v>
      </c>
      <c r="K106" s="21">
        <v>9906463872</v>
      </c>
      <c r="L106" s="21" t="s">
        <v>6564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6575</v>
      </c>
      <c r="C109" s="21" t="s">
        <v>6572</v>
      </c>
      <c r="D109" s="21" t="s">
        <v>6703</v>
      </c>
      <c r="E109" s="21" t="s">
        <v>6573</v>
      </c>
      <c r="F109" s="21" t="s">
        <v>116</v>
      </c>
      <c r="G109" s="21" t="s">
        <v>172</v>
      </c>
      <c r="H109" s="21" t="str">
        <f t="shared" si="3"/>
        <v>PULWAMA</v>
      </c>
      <c r="I109" s="21" t="s">
        <v>6577</v>
      </c>
      <c r="J109" s="22">
        <v>45982</v>
      </c>
      <c r="K109" s="21">
        <v>8825052137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6588</v>
      </c>
      <c r="C113" s="21" t="s">
        <v>6590</v>
      </c>
      <c r="D113" s="21"/>
      <c r="E113" s="21" t="s">
        <v>6589</v>
      </c>
      <c r="F113" s="21" t="s">
        <v>12</v>
      </c>
      <c r="G113" s="21" t="s">
        <v>171</v>
      </c>
      <c r="H113" s="21" t="str">
        <f t="shared" si="3"/>
        <v>SHOPIAN</v>
      </c>
      <c r="I113" s="21" t="s">
        <v>6595</v>
      </c>
      <c r="J113" s="22">
        <v>45983</v>
      </c>
      <c r="K113" s="21">
        <v>7006164327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6587</v>
      </c>
      <c r="C114" s="21" t="s">
        <v>6592</v>
      </c>
      <c r="D114" s="21"/>
      <c r="E114" s="21" t="s">
        <v>6215</v>
      </c>
      <c r="F114" s="21" t="s">
        <v>6591</v>
      </c>
      <c r="G114" s="21" t="s">
        <v>197</v>
      </c>
      <c r="H114" s="21" t="str">
        <f t="shared" si="3"/>
        <v>SHOPIAN</v>
      </c>
      <c r="I114" s="21" t="s">
        <v>6596</v>
      </c>
      <c r="J114" s="22">
        <v>45983</v>
      </c>
      <c r="K114" s="21">
        <v>8825050044</v>
      </c>
      <c r="L114" s="21" t="s">
        <v>6574</v>
      </c>
      <c r="M114" s="23" t="s">
        <v>7605</v>
      </c>
      <c r="N114" s="22">
        <v>45990</v>
      </c>
      <c r="O114" s="21" t="s">
        <v>23</v>
      </c>
      <c r="P114" s="24">
        <v>45990</v>
      </c>
      <c r="Q114" s="21" t="s">
        <v>6454</v>
      </c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6604</v>
      </c>
      <c r="C117" s="21" t="s">
        <v>6605</v>
      </c>
      <c r="D117" s="21" t="s">
        <v>6684</v>
      </c>
      <c r="E117" s="21" t="s">
        <v>6606</v>
      </c>
      <c r="F117" s="21" t="s">
        <v>116</v>
      </c>
      <c r="G117" s="21" t="s">
        <v>197</v>
      </c>
      <c r="H117" s="21" t="str">
        <f t="shared" si="3"/>
        <v>KULGAM</v>
      </c>
      <c r="I117" s="21" t="s">
        <v>6607</v>
      </c>
      <c r="J117" s="22">
        <v>45985</v>
      </c>
      <c r="K117" s="21">
        <v>9906619090</v>
      </c>
      <c r="L117" s="21" t="s">
        <v>6574</v>
      </c>
      <c r="M117" s="23" t="s">
        <v>6685</v>
      </c>
      <c r="N117" s="22">
        <v>45989</v>
      </c>
      <c r="O117" s="21" t="s">
        <v>23</v>
      </c>
      <c r="P117" s="24">
        <v>45989</v>
      </c>
      <c r="Q117" s="21" t="s">
        <v>6454</v>
      </c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6741</v>
      </c>
      <c r="C139" s="21" t="s">
        <v>6746</v>
      </c>
      <c r="D139" s="21" t="s">
        <v>6750</v>
      </c>
      <c r="E139" s="21" t="s">
        <v>6747</v>
      </c>
      <c r="F139" s="21" t="s">
        <v>116</v>
      </c>
      <c r="G139" s="21" t="s">
        <v>6751</v>
      </c>
      <c r="H139" s="21" t="str">
        <f t="shared" si="5"/>
        <v>SHOPIAN</v>
      </c>
      <c r="I139" s="21" t="s">
        <v>6755</v>
      </c>
      <c r="J139" s="22">
        <v>45995</v>
      </c>
      <c r="K139" s="21">
        <v>7780824558</v>
      </c>
      <c r="L139" s="21" t="s">
        <v>9241</v>
      </c>
      <c r="M139" s="23" t="s">
        <v>6841</v>
      </c>
      <c r="N139" s="22">
        <v>45997</v>
      </c>
      <c r="O139" s="21" t="s">
        <v>23</v>
      </c>
      <c r="P139" s="24">
        <v>45995</v>
      </c>
      <c r="Q139" s="21" t="s">
        <v>6454</v>
      </c>
      <c r="R139" s="21"/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6789</v>
      </c>
      <c r="C145" s="21" t="s">
        <v>6790</v>
      </c>
      <c r="D145" s="21" t="s">
        <v>6791</v>
      </c>
      <c r="E145" s="21" t="s">
        <v>6792</v>
      </c>
      <c r="F145" s="21" t="s">
        <v>31</v>
      </c>
      <c r="G145" s="21" t="s">
        <v>197</v>
      </c>
      <c r="H145" s="21" t="str">
        <f t="shared" si="5"/>
        <v>SHOPIAN</v>
      </c>
      <c r="I145" s="21" t="s">
        <v>6810</v>
      </c>
      <c r="J145" s="22">
        <v>45996</v>
      </c>
      <c r="K145" s="21">
        <v>9596254341</v>
      </c>
      <c r="L145" s="21" t="s">
        <v>6564</v>
      </c>
      <c r="M145" s="23" t="s">
        <v>7141</v>
      </c>
      <c r="N145" s="22">
        <v>46007</v>
      </c>
      <c r="O145" s="21"/>
      <c r="P145" s="24"/>
      <c r="Q145" s="21"/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6816</v>
      </c>
      <c r="C148" s="21" t="s">
        <v>6813</v>
      </c>
      <c r="D148" s="21" t="s">
        <v>6814</v>
      </c>
      <c r="E148" s="21" t="s">
        <v>6815</v>
      </c>
      <c r="F148" s="21" t="s">
        <v>5</v>
      </c>
      <c r="G148" s="21" t="s">
        <v>196</v>
      </c>
      <c r="H148" s="21" t="str">
        <f t="shared" si="5"/>
        <v>SHOPIAN</v>
      </c>
      <c r="I148" s="21" t="s">
        <v>6833</v>
      </c>
      <c r="J148" s="22">
        <v>45997</v>
      </c>
      <c r="K148" s="21">
        <v>7006819575</v>
      </c>
      <c r="L148" s="21" t="s">
        <v>9241</v>
      </c>
      <c r="M148" s="21" t="s">
        <v>7141</v>
      </c>
      <c r="N148" s="22">
        <v>46007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6845</v>
      </c>
      <c r="C159" s="21" t="s">
        <v>6842</v>
      </c>
      <c r="D159" s="21" t="s">
        <v>6843</v>
      </c>
      <c r="E159" s="21" t="s">
        <v>6844</v>
      </c>
      <c r="F159" s="21" t="s">
        <v>5</v>
      </c>
      <c r="G159" s="21" t="s">
        <v>197</v>
      </c>
      <c r="H159" s="21" t="str">
        <f t="shared" si="5"/>
        <v>SHOPIAN</v>
      </c>
      <c r="I159" s="21" t="s">
        <v>6864</v>
      </c>
      <c r="J159" s="22">
        <v>45999</v>
      </c>
      <c r="K159" s="21">
        <v>9858319554</v>
      </c>
      <c r="L159" s="21" t="s">
        <v>6564</v>
      </c>
      <c r="M159" s="23" t="s">
        <v>7141</v>
      </c>
      <c r="N159" s="22">
        <v>46007</v>
      </c>
      <c r="O159" s="21"/>
      <c r="P159" s="24"/>
      <c r="Q159" s="21"/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6904</v>
      </c>
      <c r="C168" s="21" t="s">
        <v>6911</v>
      </c>
      <c r="D168" s="21" t="s">
        <v>6912</v>
      </c>
      <c r="E168" s="21" t="s">
        <v>6905</v>
      </c>
      <c r="F168" s="21" t="s">
        <v>277</v>
      </c>
      <c r="G168" s="21" t="s">
        <v>196</v>
      </c>
      <c r="H168" s="21" t="str">
        <f t="shared" si="5"/>
        <v>SHOPIAN</v>
      </c>
      <c r="I168" s="21" t="s">
        <v>6903</v>
      </c>
      <c r="J168" s="22">
        <v>46000</v>
      </c>
      <c r="K168" s="21">
        <v>7006824047</v>
      </c>
      <c r="L168" s="21" t="s">
        <v>6574</v>
      </c>
      <c r="M168" s="23" t="s">
        <v>7141</v>
      </c>
      <c r="N168" s="22">
        <v>46007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7008</v>
      </c>
      <c r="C180" s="21" t="s">
        <v>7005</v>
      </c>
      <c r="D180" s="21" t="s">
        <v>7006</v>
      </c>
      <c r="E180" s="21" t="s">
        <v>7007</v>
      </c>
      <c r="F180" s="21" t="s">
        <v>31</v>
      </c>
      <c r="G180" s="21" t="s">
        <v>218</v>
      </c>
      <c r="H180" s="21" t="str">
        <f t="shared" si="5"/>
        <v>PULWAMA</v>
      </c>
      <c r="I180" s="21" t="s">
        <v>7010</v>
      </c>
      <c r="J180" s="22">
        <v>46002</v>
      </c>
      <c r="K180" s="21">
        <v>7889910978</v>
      </c>
      <c r="L180" s="21" t="s">
        <v>6564</v>
      </c>
      <c r="M180" s="23" t="s">
        <v>7141</v>
      </c>
      <c r="N180" s="22">
        <v>46007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6982</v>
      </c>
      <c r="C181" s="21" t="s">
        <v>6983</v>
      </c>
      <c r="D181" s="21" t="s">
        <v>6985</v>
      </c>
      <c r="E181" s="21" t="s">
        <v>6984</v>
      </c>
      <c r="F181" s="21" t="s">
        <v>5</v>
      </c>
      <c r="G181" s="21" t="s">
        <v>197</v>
      </c>
      <c r="H181" s="21" t="str">
        <f t="shared" si="5"/>
        <v>SHOPIAN</v>
      </c>
      <c r="I181" s="21" t="s">
        <v>7009</v>
      </c>
      <c r="J181" s="22">
        <v>46002</v>
      </c>
      <c r="K181" s="21">
        <v>9906277021</v>
      </c>
      <c r="L181" s="21" t="s">
        <v>6564</v>
      </c>
      <c r="M181" s="23" t="s">
        <v>7141</v>
      </c>
      <c r="N181" s="22">
        <v>46007</v>
      </c>
      <c r="O181" s="21"/>
      <c r="P181" s="24"/>
      <c r="Q181" s="21"/>
      <c r="R181" s="21"/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7096</v>
      </c>
      <c r="C190" s="21" t="s">
        <v>7084</v>
      </c>
      <c r="D190" s="21" t="s">
        <v>7085</v>
      </c>
      <c r="E190" s="21" t="s">
        <v>7086</v>
      </c>
      <c r="F190" s="21" t="s">
        <v>31</v>
      </c>
      <c r="G190" s="21" t="s">
        <v>172</v>
      </c>
      <c r="H190" s="21" t="str">
        <f t="shared" si="5"/>
        <v>JAMMU</v>
      </c>
      <c r="I190" s="21" t="s">
        <v>7097</v>
      </c>
      <c r="J190" s="22">
        <v>46004</v>
      </c>
      <c r="K190" s="21">
        <v>7006058332</v>
      </c>
      <c r="L190" s="21" t="s">
        <v>9241</v>
      </c>
      <c r="M190" s="23" t="s">
        <v>7141</v>
      </c>
      <c r="N190" s="22">
        <v>46007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7087</v>
      </c>
      <c r="C192" s="21" t="s">
        <v>7092</v>
      </c>
      <c r="D192" s="21" t="s">
        <v>7093</v>
      </c>
      <c r="E192" s="21" t="s">
        <v>7094</v>
      </c>
      <c r="F192" s="21" t="s">
        <v>286</v>
      </c>
      <c r="G192" s="21" t="s">
        <v>172</v>
      </c>
      <c r="H192" s="21" t="str">
        <f t="shared" si="5"/>
        <v>SHOPIAN</v>
      </c>
      <c r="I192" s="21" t="s">
        <v>7095</v>
      </c>
      <c r="J192" s="22">
        <v>46004</v>
      </c>
      <c r="K192" s="21">
        <v>7006885644</v>
      </c>
      <c r="L192" s="21" t="s">
        <v>6574</v>
      </c>
      <c r="M192" s="23" t="s">
        <v>7141</v>
      </c>
      <c r="N192" s="22">
        <v>46007</v>
      </c>
      <c r="O192" s="21"/>
      <c r="P192" s="24"/>
      <c r="Q192" s="21"/>
      <c r="R192" s="21"/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7232</v>
      </c>
      <c r="C215" s="21" t="s">
        <v>7229</v>
      </c>
      <c r="D215" s="21" t="s">
        <v>7230</v>
      </c>
      <c r="E215" s="21" t="s">
        <v>7231</v>
      </c>
      <c r="F215" s="21" t="s">
        <v>116</v>
      </c>
      <c r="G215" s="21" t="s">
        <v>197</v>
      </c>
      <c r="H215" s="21" t="str">
        <f t="shared" si="7"/>
        <v>PULWAMA</v>
      </c>
      <c r="I215" s="21" t="s">
        <v>7249</v>
      </c>
      <c r="J215" s="22">
        <v>46009</v>
      </c>
      <c r="K215" s="21">
        <v>7006889943</v>
      </c>
      <c r="L215" s="21" t="s">
        <v>6564</v>
      </c>
      <c r="M215" s="23" t="s">
        <v>7605</v>
      </c>
      <c r="N215" s="22">
        <v>46015</v>
      </c>
      <c r="O215" s="21"/>
      <c r="P215" s="24"/>
      <c r="Q215" s="21"/>
      <c r="R215" s="21"/>
    </row>
    <row r="216" spans="1:18" x14ac:dyDescent="0.25">
      <c r="A216" s="21">
        <f t="shared" si="6"/>
        <v>215</v>
      </c>
      <c r="B216" s="21" t="s">
        <v>7255</v>
      </c>
      <c r="C216" s="21" t="s">
        <v>7256</v>
      </c>
      <c r="D216" s="21" t="s">
        <v>7257</v>
      </c>
      <c r="E216" s="21" t="s">
        <v>7258</v>
      </c>
      <c r="F216" s="21" t="s">
        <v>116</v>
      </c>
      <c r="G216" s="21" t="s">
        <v>172</v>
      </c>
      <c r="H216" s="21" t="str">
        <f t="shared" si="7"/>
        <v>SHOPIAN</v>
      </c>
      <c r="I216" s="21" t="s">
        <v>7259</v>
      </c>
      <c r="J216" s="22">
        <v>46009</v>
      </c>
      <c r="K216" s="21">
        <v>9103369022</v>
      </c>
      <c r="L216" s="21" t="s">
        <v>6564</v>
      </c>
      <c r="M216" s="23" t="s">
        <v>7284</v>
      </c>
      <c r="N216" s="22">
        <v>46010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7233</v>
      </c>
      <c r="C217" s="21" t="s">
        <v>7234</v>
      </c>
      <c r="D217" s="21" t="s">
        <v>7235</v>
      </c>
      <c r="E217" s="21" t="s">
        <v>7236</v>
      </c>
      <c r="F217" s="21" t="s">
        <v>31</v>
      </c>
      <c r="G217" s="21" t="s">
        <v>172</v>
      </c>
      <c r="H217" s="21" t="str">
        <f t="shared" si="7"/>
        <v>SHOPIAN</v>
      </c>
      <c r="I217" s="21" t="s">
        <v>7250</v>
      </c>
      <c r="J217" s="22">
        <v>46009</v>
      </c>
      <c r="K217" s="21">
        <v>8484070924</v>
      </c>
      <c r="L217" s="21" t="s">
        <v>6564</v>
      </c>
      <c r="M217" s="23" t="s">
        <v>7605</v>
      </c>
      <c r="N217" s="22">
        <v>46015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7304</v>
      </c>
      <c r="C231" s="21" t="s">
        <v>7305</v>
      </c>
      <c r="D231" s="21" t="s">
        <v>7306</v>
      </c>
      <c r="E231" s="21" t="s">
        <v>7307</v>
      </c>
      <c r="F231" s="21" t="s">
        <v>116</v>
      </c>
      <c r="G231" s="21" t="s">
        <v>218</v>
      </c>
      <c r="H231" s="21" t="str">
        <f t="shared" si="7"/>
        <v>SHOPIAN</v>
      </c>
      <c r="I231" s="21" t="s">
        <v>7309</v>
      </c>
      <c r="J231" s="22">
        <v>46011</v>
      </c>
      <c r="K231" s="21">
        <v>6006713170</v>
      </c>
      <c r="L231" s="21" t="s">
        <v>6564</v>
      </c>
      <c r="M231" s="23" t="s">
        <v>7605</v>
      </c>
      <c r="N231" s="22">
        <v>46015</v>
      </c>
      <c r="O231" s="21"/>
      <c r="P231" s="24"/>
      <c r="Q231" s="21"/>
      <c r="R231" s="21" t="s">
        <v>7375</v>
      </c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7470</v>
      </c>
      <c r="C258" s="21" t="s">
        <v>7462</v>
      </c>
      <c r="D258" s="21" t="s">
        <v>7512</v>
      </c>
      <c r="E258" s="21" t="s">
        <v>7454</v>
      </c>
      <c r="F258" s="21" t="s">
        <v>65</v>
      </c>
      <c r="G258" s="21" t="s">
        <v>196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7480</v>
      </c>
      <c r="J258" s="22">
        <v>46015</v>
      </c>
      <c r="K258" s="21">
        <v>6006293557</v>
      </c>
      <c r="L258" s="21" t="s">
        <v>6564</v>
      </c>
      <c r="M258" s="23" t="s">
        <v>8211</v>
      </c>
      <c r="N258" s="22">
        <v>46025</v>
      </c>
      <c r="O258" s="21"/>
      <c r="P258" s="24"/>
      <c r="Q258" s="21"/>
      <c r="R258" s="21"/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7658</v>
      </c>
      <c r="C285" s="21" t="s">
        <v>7659</v>
      </c>
      <c r="D285" s="21" t="s">
        <v>7660</v>
      </c>
      <c r="E285" s="21" t="s">
        <v>7661</v>
      </c>
      <c r="F285" s="21" t="s">
        <v>122</v>
      </c>
      <c r="G285" s="21" t="s">
        <v>171</v>
      </c>
      <c r="H285" s="21" t="str">
        <f t="shared" si="9"/>
        <v>SRINAGAR</v>
      </c>
      <c r="I285" s="21" t="s">
        <v>7673</v>
      </c>
      <c r="J285" s="22">
        <v>46019</v>
      </c>
      <c r="K285" s="21">
        <v>9622727272</v>
      </c>
      <c r="L285" s="21" t="s">
        <v>6564</v>
      </c>
      <c r="M285" s="23" t="s">
        <v>7765</v>
      </c>
      <c r="N285" s="22">
        <v>46031</v>
      </c>
      <c r="O285" s="21"/>
      <c r="P285" s="24"/>
      <c r="Q285" s="21"/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7685</v>
      </c>
      <c r="C290" s="21" t="s">
        <v>7686</v>
      </c>
      <c r="D290" s="21" t="s">
        <v>7687</v>
      </c>
      <c r="E290" s="21" t="s">
        <v>7688</v>
      </c>
      <c r="F290" s="21" t="s">
        <v>482</v>
      </c>
      <c r="G290" s="21" t="s">
        <v>196</v>
      </c>
      <c r="H290" s="21" t="str">
        <f t="shared" si="9"/>
        <v>SHOPIAN</v>
      </c>
      <c r="I290" s="21" t="s">
        <v>7691</v>
      </c>
      <c r="J290" s="22">
        <v>46020</v>
      </c>
      <c r="K290" s="21">
        <v>7006540570</v>
      </c>
      <c r="L290" s="21" t="s">
        <v>7689</v>
      </c>
      <c r="M290" s="23" t="s">
        <v>7284</v>
      </c>
      <c r="N290" s="22">
        <v>46035</v>
      </c>
      <c r="O290" s="21"/>
      <c r="P290" s="24"/>
      <c r="Q290" s="21"/>
      <c r="R290" s="21" t="s">
        <v>7721</v>
      </c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7827</v>
      </c>
      <c r="C320" s="21" t="s">
        <v>7828</v>
      </c>
      <c r="D320" s="21" t="s">
        <v>7829</v>
      </c>
      <c r="E320" s="21" t="s">
        <v>7830</v>
      </c>
      <c r="F320" s="21" t="s">
        <v>31</v>
      </c>
      <c r="G320" s="21" t="s">
        <v>197</v>
      </c>
      <c r="H320" s="21" t="str">
        <f t="shared" si="9"/>
        <v>KULGAM</v>
      </c>
      <c r="I320" s="29" t="s">
        <v>7848</v>
      </c>
      <c r="J320" s="22">
        <v>46023</v>
      </c>
      <c r="K320" s="21">
        <v>7006176206</v>
      </c>
      <c r="L320" s="21" t="s">
        <v>6564</v>
      </c>
      <c r="M320" s="23" t="s">
        <v>7284</v>
      </c>
      <c r="N320" s="22">
        <v>46035</v>
      </c>
      <c r="O320" s="21" t="s">
        <v>23</v>
      </c>
      <c r="P320" s="24">
        <v>46058</v>
      </c>
      <c r="Q320" s="21" t="s">
        <v>6454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7900</v>
      </c>
      <c r="C331" s="21" t="s">
        <v>7901</v>
      </c>
      <c r="D331" s="21" t="s">
        <v>7902</v>
      </c>
      <c r="E331" s="21" t="s">
        <v>7903</v>
      </c>
      <c r="F331" s="21" t="s">
        <v>482</v>
      </c>
      <c r="G331" s="21" t="s">
        <v>196</v>
      </c>
      <c r="H331" s="21" t="str">
        <f t="shared" si="11"/>
        <v>SHOPIAN</v>
      </c>
      <c r="I331" s="21" t="s">
        <v>7944</v>
      </c>
      <c r="J331" s="22">
        <v>46024</v>
      </c>
      <c r="K331" s="21">
        <v>7780943149</v>
      </c>
      <c r="L331" s="21" t="s">
        <v>6564</v>
      </c>
      <c r="M331" s="23" t="s">
        <v>7284</v>
      </c>
      <c r="N331" s="22">
        <v>46035</v>
      </c>
      <c r="O331" s="21"/>
      <c r="P331" s="24"/>
      <c r="Q331" s="21"/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7959</v>
      </c>
      <c r="C346" s="21" t="s">
        <v>7956</v>
      </c>
      <c r="D346" s="21" t="s">
        <v>7957</v>
      </c>
      <c r="E346" s="21" t="s">
        <v>7958</v>
      </c>
      <c r="F346" s="21" t="s">
        <v>5</v>
      </c>
      <c r="G346" s="21" t="s">
        <v>196</v>
      </c>
      <c r="H346" s="21" t="str">
        <f t="shared" si="11"/>
        <v>SHOPIAN</v>
      </c>
      <c r="I346" s="21" t="s">
        <v>7965</v>
      </c>
      <c r="J346" s="22">
        <v>46025</v>
      </c>
      <c r="K346" s="21">
        <v>9103275011</v>
      </c>
      <c r="L346" s="21" t="s">
        <v>6564</v>
      </c>
      <c r="M346" s="23" t="s">
        <v>7284</v>
      </c>
      <c r="N346" s="22">
        <v>46034</v>
      </c>
      <c r="O346" s="21"/>
      <c r="P346" s="24"/>
      <c r="Q346" s="21"/>
      <c r="R346" s="21"/>
    </row>
    <row r="347" spans="1:18" x14ac:dyDescent="0.25">
      <c r="A347" s="21">
        <f t="shared" si="10"/>
        <v>346</v>
      </c>
      <c r="B347" s="21" t="s">
        <v>7939</v>
      </c>
      <c r="C347" s="21" t="s">
        <v>7940</v>
      </c>
      <c r="D347" s="21" t="s">
        <v>7941</v>
      </c>
      <c r="E347" s="21" t="s">
        <v>7942</v>
      </c>
      <c r="F347" s="21" t="s">
        <v>5</v>
      </c>
      <c r="G347" s="21" t="s">
        <v>196</v>
      </c>
      <c r="H347" s="21" t="str">
        <f t="shared" si="11"/>
        <v>SHOPIAN</v>
      </c>
      <c r="I347" s="22" t="s">
        <v>8002</v>
      </c>
      <c r="J347" s="22">
        <v>46025</v>
      </c>
      <c r="K347" s="21">
        <v>7006820710</v>
      </c>
      <c r="L347" s="21" t="s">
        <v>6564</v>
      </c>
      <c r="M347" s="23" t="s">
        <v>7284</v>
      </c>
      <c r="N347" s="22">
        <v>46347</v>
      </c>
      <c r="O347" s="21"/>
      <c r="P347" s="24"/>
      <c r="Q347" s="21"/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8178</v>
      </c>
      <c r="C375" s="21" t="s">
        <v>8175</v>
      </c>
      <c r="D375" s="21" t="s">
        <v>8176</v>
      </c>
      <c r="E375" s="21" t="s">
        <v>8177</v>
      </c>
      <c r="F375" s="21" t="s">
        <v>6540</v>
      </c>
      <c r="G375" s="21" t="s">
        <v>197</v>
      </c>
      <c r="H375" s="21" t="str">
        <f t="shared" si="11"/>
        <v>KULGAM</v>
      </c>
      <c r="I375" s="21" t="s">
        <v>8185</v>
      </c>
      <c r="J375" s="22">
        <v>46030</v>
      </c>
      <c r="K375" s="21">
        <v>9541822070</v>
      </c>
      <c r="L375" s="21" t="s">
        <v>6564</v>
      </c>
      <c r="M375" s="23" t="s">
        <v>8215</v>
      </c>
      <c r="N375" s="22">
        <v>46034</v>
      </c>
      <c r="O375" s="21"/>
      <c r="P375" s="24"/>
      <c r="Q375" s="21"/>
      <c r="R375" s="21" t="s">
        <v>8199</v>
      </c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8255</v>
      </c>
      <c r="C378" s="21" t="s">
        <v>8256</v>
      </c>
      <c r="D378" s="21" t="s">
        <v>8258</v>
      </c>
      <c r="E378" s="21" t="s">
        <v>8257</v>
      </c>
      <c r="F378" s="21" t="s">
        <v>8259</v>
      </c>
      <c r="G378" s="21" t="s">
        <v>197</v>
      </c>
      <c r="H378" s="21" t="str">
        <f t="shared" si="11"/>
        <v>SHOPIAN</v>
      </c>
      <c r="I378" s="21" t="s">
        <v>8260</v>
      </c>
      <c r="J378" s="22">
        <v>46038</v>
      </c>
      <c r="K378" s="21">
        <v>7006595403</v>
      </c>
      <c r="L378" s="21" t="s">
        <v>6564</v>
      </c>
      <c r="M378" s="23" t="s">
        <v>8302</v>
      </c>
      <c r="N378" s="22">
        <v>46042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8306</v>
      </c>
      <c r="C385" s="21" t="s">
        <v>8303</v>
      </c>
      <c r="D385" s="21" t="s">
        <v>8304</v>
      </c>
      <c r="E385" s="21" t="s">
        <v>8305</v>
      </c>
      <c r="F385" s="21" t="s">
        <v>116</v>
      </c>
      <c r="G385" s="21" t="s">
        <v>172</v>
      </c>
      <c r="H385" s="21" t="str">
        <f t="shared" si="11"/>
        <v>SHOPIAN</v>
      </c>
      <c r="I385" s="21" t="s">
        <v>8309</v>
      </c>
      <c r="J385" s="22">
        <v>46042</v>
      </c>
      <c r="K385" s="21">
        <v>7006739253</v>
      </c>
      <c r="L385" s="21" t="s">
        <v>6564</v>
      </c>
      <c r="M385" s="23" t="s">
        <v>8302</v>
      </c>
      <c r="N385" s="22">
        <v>46059</v>
      </c>
      <c r="O385" s="21" t="s">
        <v>23</v>
      </c>
      <c r="P385" s="24">
        <v>46043</v>
      </c>
      <c r="Q385" s="21" t="s">
        <v>8155</v>
      </c>
      <c r="R385" s="21" t="s">
        <v>8340</v>
      </c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8454</v>
      </c>
      <c r="C418" s="21" t="s">
        <v>8451</v>
      </c>
      <c r="D418" s="21" t="s">
        <v>8452</v>
      </c>
      <c r="E418" s="21" t="s">
        <v>8453</v>
      </c>
      <c r="F418" s="21" t="s">
        <v>116</v>
      </c>
      <c r="G418" s="21" t="s">
        <v>171</v>
      </c>
      <c r="H418" s="21" t="str">
        <f t="shared" si="13"/>
        <v>SHOPIAN</v>
      </c>
      <c r="I418" s="21" t="s">
        <v>8460</v>
      </c>
      <c r="J418" s="22">
        <v>46052</v>
      </c>
      <c r="K418" s="21">
        <v>8899524496</v>
      </c>
      <c r="L418" s="21" t="s">
        <v>7689</v>
      </c>
      <c r="M418" s="23" t="s">
        <v>7605</v>
      </c>
      <c r="N418" s="22">
        <v>46053</v>
      </c>
      <c r="O418" s="21" t="s">
        <v>23</v>
      </c>
      <c r="P418" s="24">
        <v>46055</v>
      </c>
      <c r="Q418" s="21" t="s">
        <v>6454</v>
      </c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8672</v>
      </c>
      <c r="C444" s="21" t="s">
        <v>8673</v>
      </c>
      <c r="D444" s="21" t="s">
        <v>8674</v>
      </c>
      <c r="E444" s="21" t="s">
        <v>8675</v>
      </c>
      <c r="F444" s="21" t="s">
        <v>98</v>
      </c>
      <c r="G444" s="21" t="s">
        <v>171</v>
      </c>
      <c r="H444" s="21" t="str">
        <f t="shared" si="13"/>
        <v>SHOPIAN</v>
      </c>
      <c r="I444" s="21" t="s">
        <v>8676</v>
      </c>
      <c r="J444" s="22">
        <v>46058</v>
      </c>
      <c r="K444" s="21">
        <v>8825090520</v>
      </c>
      <c r="L444" s="21" t="s">
        <v>9241</v>
      </c>
      <c r="M444" s="23" t="s">
        <v>8754</v>
      </c>
      <c r="N444" s="22">
        <v>46064</v>
      </c>
      <c r="O444" s="21"/>
      <c r="P444" s="24"/>
      <c r="Q444" s="21"/>
      <c r="R444" s="21"/>
    </row>
    <row r="445" spans="1:18" x14ac:dyDescent="0.25">
      <c r="A445" s="21">
        <f t="shared" si="12"/>
        <v>444</v>
      </c>
      <c r="B445" s="21" t="s">
        <v>8655</v>
      </c>
      <c r="C445" s="21" t="s">
        <v>8656</v>
      </c>
      <c r="D445" s="21" t="s">
        <v>8657</v>
      </c>
      <c r="E445" s="21" t="s">
        <v>8658</v>
      </c>
      <c r="F445" s="21" t="s">
        <v>98</v>
      </c>
      <c r="G445" s="21" t="s">
        <v>178</v>
      </c>
      <c r="H445" s="21" t="str">
        <f t="shared" si="13"/>
        <v>SHOPIAN</v>
      </c>
      <c r="I445" s="21" t="s">
        <v>8665</v>
      </c>
      <c r="J445" s="22">
        <v>46058</v>
      </c>
      <c r="K445" s="21">
        <v>9419783314</v>
      </c>
      <c r="L445" s="21" t="s">
        <v>7689</v>
      </c>
      <c r="M445" s="23" t="s">
        <v>8754</v>
      </c>
      <c r="N445" s="22">
        <v>46064</v>
      </c>
      <c r="O445" s="21" t="s">
        <v>23</v>
      </c>
      <c r="P445" s="24">
        <v>46059</v>
      </c>
      <c r="Q445" s="21" t="s">
        <v>8690</v>
      </c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8778</v>
      </c>
      <c r="C462" s="21" t="s">
        <v>8779</v>
      </c>
      <c r="D462" s="21" t="s">
        <v>8780</v>
      </c>
      <c r="E462" s="21" t="s">
        <v>6215</v>
      </c>
      <c r="F462" s="21" t="s">
        <v>116</v>
      </c>
      <c r="G462" s="21" t="s">
        <v>197</v>
      </c>
      <c r="H462" s="21" t="str">
        <f t="shared" si="15"/>
        <v>SHOPIAN</v>
      </c>
      <c r="I462" s="21" t="s">
        <v>8781</v>
      </c>
      <c r="J462" s="22">
        <v>46065</v>
      </c>
      <c r="K462" s="21">
        <v>9596414585</v>
      </c>
      <c r="L462" s="21" t="s">
        <v>6564</v>
      </c>
      <c r="M462" s="23" t="s">
        <v>8930</v>
      </c>
      <c r="N462" s="22">
        <v>46073</v>
      </c>
      <c r="O462" s="21" t="s">
        <v>23</v>
      </c>
      <c r="P462" s="24">
        <v>46073</v>
      </c>
      <c r="Q462" s="21" t="s">
        <v>6454</v>
      </c>
      <c r="R462" s="21" t="s">
        <v>8790</v>
      </c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8215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8878</v>
      </c>
      <c r="C475" s="21" t="s">
        <v>8879</v>
      </c>
      <c r="D475" s="21" t="s">
        <v>8880</v>
      </c>
      <c r="E475" s="21" t="s">
        <v>8881</v>
      </c>
      <c r="F475" s="21" t="s">
        <v>98</v>
      </c>
      <c r="G475" s="21" t="s">
        <v>171</v>
      </c>
      <c r="H475" s="21" t="str">
        <f t="shared" si="15"/>
        <v>PULWAMA</v>
      </c>
      <c r="I475" s="21" t="s">
        <v>8889</v>
      </c>
      <c r="J475" s="22">
        <v>46071</v>
      </c>
      <c r="K475" s="21">
        <v>8082201253</v>
      </c>
      <c r="L475" s="21" t="s">
        <v>7689</v>
      </c>
      <c r="M475" s="23" t="s">
        <v>8930</v>
      </c>
      <c r="N475" s="22">
        <v>46077</v>
      </c>
      <c r="O475" s="21" t="s">
        <v>23</v>
      </c>
      <c r="P475" s="24">
        <v>46077</v>
      </c>
      <c r="Q475" s="21" t="s">
        <v>6454</v>
      </c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30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8941</v>
      </c>
      <c r="C484" s="21" t="s">
        <v>8939</v>
      </c>
      <c r="D484" s="21" t="s">
        <v>8940</v>
      </c>
      <c r="E484" s="21" t="s">
        <v>8938</v>
      </c>
      <c r="F484" s="21" t="s">
        <v>482</v>
      </c>
      <c r="G484" s="21" t="s">
        <v>171</v>
      </c>
      <c r="H484" s="21" t="str">
        <f t="shared" si="15"/>
        <v>SHOPIAN</v>
      </c>
      <c r="I484" s="21" t="s">
        <v>8956</v>
      </c>
      <c r="J484" s="22">
        <v>46074</v>
      </c>
      <c r="K484" s="21">
        <v>9419016072</v>
      </c>
      <c r="L484" s="21" t="s">
        <v>6564</v>
      </c>
      <c r="M484" s="23" t="s">
        <v>8930</v>
      </c>
      <c r="N484" s="22">
        <v>46077</v>
      </c>
      <c r="O484" s="21" t="s">
        <v>23</v>
      </c>
      <c r="P484" s="24">
        <v>46077</v>
      </c>
      <c r="Q484" s="21" t="s">
        <v>6454</v>
      </c>
      <c r="R484" s="21"/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9157</v>
      </c>
      <c r="C517" s="21" t="s">
        <v>9154</v>
      </c>
      <c r="D517" s="21" t="s">
        <v>9155</v>
      </c>
      <c r="E517" s="21" t="s">
        <v>9156</v>
      </c>
      <c r="F517" s="21" t="s">
        <v>116</v>
      </c>
      <c r="G517" s="21" t="s">
        <v>172</v>
      </c>
      <c r="H517" s="21" t="str">
        <f t="shared" si="17"/>
        <v>SHOPIAN</v>
      </c>
      <c r="I517" s="21" t="s">
        <v>9178</v>
      </c>
      <c r="J517" s="22">
        <v>46088</v>
      </c>
      <c r="K517" s="21">
        <v>7780894721</v>
      </c>
      <c r="L517" s="21" t="s">
        <v>9241</v>
      </c>
      <c r="M517" s="23" t="s">
        <v>8930</v>
      </c>
      <c r="N517" s="22">
        <v>46095</v>
      </c>
      <c r="O517" s="21" t="s">
        <v>23</v>
      </c>
      <c r="P517" s="24">
        <v>46095</v>
      </c>
      <c r="Q517" s="21" t="s">
        <v>8155</v>
      </c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9255</v>
      </c>
      <c r="C534" s="21" t="s">
        <v>9256</v>
      </c>
      <c r="D534" s="21" t="s">
        <v>9257</v>
      </c>
      <c r="E534" s="21" t="s">
        <v>9258</v>
      </c>
      <c r="F534" s="21" t="s">
        <v>98</v>
      </c>
      <c r="G534" s="21" t="s">
        <v>171</v>
      </c>
      <c r="H534" s="21" t="str">
        <f t="shared" si="17"/>
        <v>SHOPIAN</v>
      </c>
      <c r="I534" s="21" t="s">
        <v>9263</v>
      </c>
      <c r="J534" s="22">
        <v>46094</v>
      </c>
      <c r="K534" s="21">
        <v>9622761029</v>
      </c>
      <c r="L534" s="21" t="s">
        <v>6564</v>
      </c>
      <c r="M534" s="23" t="s">
        <v>9745</v>
      </c>
      <c r="N534" s="22">
        <v>46113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9282</v>
      </c>
      <c r="C539" s="21" t="s">
        <v>9283</v>
      </c>
      <c r="D539" s="21" t="s">
        <v>9284</v>
      </c>
      <c r="E539" s="21" t="s">
        <v>1946</v>
      </c>
      <c r="F539" s="21" t="s">
        <v>6540</v>
      </c>
      <c r="G539" s="21" t="s">
        <v>6469</v>
      </c>
      <c r="H539" s="21" t="str">
        <f t="shared" si="17"/>
        <v>SHOPIAN</v>
      </c>
      <c r="I539" s="21" t="s">
        <v>9293</v>
      </c>
      <c r="J539" s="22">
        <v>46095</v>
      </c>
      <c r="K539" s="21">
        <v>7006544713</v>
      </c>
      <c r="L539" s="21" t="s">
        <v>9241</v>
      </c>
      <c r="M539" s="23" t="s">
        <v>7662</v>
      </c>
      <c r="N539" s="22">
        <v>46108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9331</v>
      </c>
      <c r="C546" s="21" t="s">
        <v>9336</v>
      </c>
      <c r="D546" s="21" t="s">
        <v>9337</v>
      </c>
      <c r="E546" s="21" t="s">
        <v>9338</v>
      </c>
      <c r="F546" s="21" t="s">
        <v>12</v>
      </c>
      <c r="G546" s="21" t="s">
        <v>197</v>
      </c>
      <c r="H546" s="21" t="str">
        <f t="shared" si="17"/>
        <v>PULWAMA</v>
      </c>
      <c r="I546" s="21" t="s">
        <v>9340</v>
      </c>
      <c r="J546" s="22">
        <v>46097</v>
      </c>
      <c r="K546" s="21">
        <v>7298762558</v>
      </c>
      <c r="L546" s="21" t="s">
        <v>6564</v>
      </c>
      <c r="M546" s="23"/>
      <c r="N546" s="22"/>
      <c r="O546" s="21"/>
      <c r="P546" s="24"/>
      <c r="Q546" s="21"/>
      <c r="R546" s="21" t="s">
        <v>9348</v>
      </c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9769</v>
      </c>
      <c r="C624" s="21" t="s">
        <v>9766</v>
      </c>
      <c r="D624" s="21" t="s">
        <v>9767</v>
      </c>
      <c r="E624" s="21" t="s">
        <v>9768</v>
      </c>
      <c r="F624" s="21" t="s">
        <v>5</v>
      </c>
      <c r="G624" s="21" t="s">
        <v>196</v>
      </c>
      <c r="H624" s="21" t="str">
        <f t="shared" si="19"/>
        <v>BHARAT</v>
      </c>
      <c r="I624" s="21" t="s">
        <v>9825</v>
      </c>
      <c r="J624" s="22">
        <v>46119</v>
      </c>
      <c r="K624" s="21">
        <v>9149899595</v>
      </c>
      <c r="L624" s="21" t="s">
        <v>6564</v>
      </c>
      <c r="M624" s="23" t="s">
        <v>10467</v>
      </c>
      <c r="N624" s="22">
        <v>46120</v>
      </c>
      <c r="O624" s="21" t="s">
        <v>23</v>
      </c>
      <c r="P624" s="24">
        <v>46119</v>
      </c>
      <c r="Q624" s="21" t="s">
        <v>6454</v>
      </c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10882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9950</v>
      </c>
      <c r="C645" s="21" t="s">
        <v>9951</v>
      </c>
      <c r="D645" s="21" t="s">
        <v>9952</v>
      </c>
      <c r="E645" s="21" t="s">
        <v>9953</v>
      </c>
      <c r="F645" s="21" t="s">
        <v>116</v>
      </c>
      <c r="G645" s="21" t="s">
        <v>197</v>
      </c>
      <c r="H645" s="21" t="str">
        <f t="shared" si="21"/>
        <v>SHOPIAN</v>
      </c>
      <c r="I645" s="21" t="s">
        <v>9955</v>
      </c>
      <c r="J645" s="22">
        <v>46123</v>
      </c>
      <c r="K645" s="21">
        <v>9541124924</v>
      </c>
      <c r="L645" s="21" t="s">
        <v>6564</v>
      </c>
      <c r="M645" s="23" t="s">
        <v>8302</v>
      </c>
      <c r="N645" s="22">
        <v>46140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11301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10281</v>
      </c>
      <c r="C698" s="21" t="s">
        <v>10282</v>
      </c>
      <c r="D698" s="21" t="s">
        <v>10283</v>
      </c>
      <c r="E698" s="21" t="s">
        <v>2977</v>
      </c>
      <c r="F698" s="21" t="s">
        <v>277</v>
      </c>
      <c r="G698" s="21" t="s">
        <v>197</v>
      </c>
      <c r="H698" s="21" t="str">
        <f t="shared" si="21"/>
        <v>SHOPIAN</v>
      </c>
      <c r="I698" s="21" t="s">
        <v>10284</v>
      </c>
      <c r="J698" s="22">
        <v>46140</v>
      </c>
      <c r="K698" s="21">
        <v>9797183691</v>
      </c>
      <c r="L698" s="21" t="s">
        <v>9241</v>
      </c>
      <c r="M698" s="23" t="s">
        <v>10468</v>
      </c>
      <c r="N698" s="22">
        <v>46140</v>
      </c>
      <c r="O698" s="21" t="s">
        <v>23</v>
      </c>
      <c r="P698" s="24">
        <v>46140</v>
      </c>
      <c r="Q698" s="21" t="s">
        <v>6454</v>
      </c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10325</v>
      </c>
      <c r="C705" s="21" t="s">
        <v>10326</v>
      </c>
      <c r="D705" s="21" t="s">
        <v>10327</v>
      </c>
      <c r="E705" s="21" t="s">
        <v>10328</v>
      </c>
      <c r="F705" s="21" t="s">
        <v>98</v>
      </c>
      <c r="G705" s="21" t="s">
        <v>197</v>
      </c>
      <c r="H705" s="21" t="str">
        <f t="shared" si="21"/>
        <v>PULWAMA</v>
      </c>
      <c r="I705" s="21" t="s">
        <v>10334</v>
      </c>
      <c r="J705" s="22">
        <v>46142</v>
      </c>
      <c r="K705" s="21">
        <v>7006832228</v>
      </c>
      <c r="L705" s="21" t="s">
        <v>6564</v>
      </c>
      <c r="M705" s="23" t="s">
        <v>8930</v>
      </c>
      <c r="N705" s="22">
        <v>46167</v>
      </c>
      <c r="O705" s="21" t="s">
        <v>23</v>
      </c>
      <c r="P705" s="24">
        <v>46167</v>
      </c>
      <c r="Q705" s="21" t="s">
        <v>6454</v>
      </c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10772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10455</v>
      </c>
      <c r="C728" s="21" t="s">
        <v>10456</v>
      </c>
      <c r="D728" s="21" t="s">
        <v>10457</v>
      </c>
      <c r="E728" s="21" t="s">
        <v>10458</v>
      </c>
      <c r="F728" s="21" t="s">
        <v>12</v>
      </c>
      <c r="G728" s="21" t="s">
        <v>171</v>
      </c>
      <c r="H728" s="21" t="str">
        <f t="shared" si="23"/>
        <v>SRINAGAR</v>
      </c>
      <c r="I728" s="21" t="s">
        <v>10464</v>
      </c>
      <c r="J728" s="22">
        <v>46147</v>
      </c>
      <c r="K728" s="21">
        <v>7006076673</v>
      </c>
      <c r="L728" s="21" t="s">
        <v>6564</v>
      </c>
      <c r="M728" s="23"/>
      <c r="N728" s="22"/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11185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10772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10772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10498</v>
      </c>
      <c r="C735" s="21" t="s">
        <v>10499</v>
      </c>
      <c r="D735" s="21" t="s">
        <v>10500</v>
      </c>
      <c r="E735" s="21" t="s">
        <v>10501</v>
      </c>
      <c r="F735" s="21" t="s">
        <v>12</v>
      </c>
      <c r="G735" s="21" t="s">
        <v>197</v>
      </c>
      <c r="H735" s="21" t="str">
        <f t="shared" si="23"/>
        <v>SHOPIAN</v>
      </c>
      <c r="I735" s="21" t="s">
        <v>10502</v>
      </c>
      <c r="J735" s="22">
        <v>46149</v>
      </c>
      <c r="K735" s="21">
        <v>7006112317</v>
      </c>
      <c r="L735" s="21" t="s">
        <v>6564</v>
      </c>
      <c r="M735" s="23" t="s">
        <v>8930</v>
      </c>
      <c r="N735" s="22">
        <v>46167</v>
      </c>
      <c r="O735" s="21" t="s">
        <v>23</v>
      </c>
      <c r="P735" s="24">
        <v>46167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10774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10772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10772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11118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10607</v>
      </c>
      <c r="C753" s="21" t="s">
        <v>10608</v>
      </c>
      <c r="D753" s="21" t="s">
        <v>10609</v>
      </c>
      <c r="E753" s="21" t="s">
        <v>10610</v>
      </c>
      <c r="F753" s="21" t="s">
        <v>5</v>
      </c>
      <c r="G753" s="21" t="s">
        <v>197</v>
      </c>
      <c r="H753" s="21" t="str">
        <f t="shared" si="23"/>
        <v>PULWAMA</v>
      </c>
      <c r="I753" s="21" t="s">
        <v>10612</v>
      </c>
      <c r="J753" s="22">
        <v>46156</v>
      </c>
      <c r="K753" s="21">
        <v>7780989757</v>
      </c>
      <c r="L753" s="21" t="s">
        <v>6564</v>
      </c>
      <c r="M753" s="23" t="s">
        <v>8930</v>
      </c>
      <c r="N753" s="22">
        <v>46167</v>
      </c>
      <c r="O753" s="21" t="s">
        <v>23</v>
      </c>
      <c r="P753" s="24">
        <v>46167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10970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10772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10772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11068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8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788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10772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10854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11066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10773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10778</v>
      </c>
      <c r="C781" s="21" t="s">
        <v>10779</v>
      </c>
      <c r="D781" s="21" t="s">
        <v>10780</v>
      </c>
      <c r="E781" s="21" t="s">
        <v>10781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10782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10775</v>
      </c>
      <c r="C782" s="21" t="s">
        <v>10776</v>
      </c>
      <c r="D782" s="21" t="s">
        <v>10777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10799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10784</v>
      </c>
      <c r="C783" s="21" t="s">
        <v>10785</v>
      </c>
      <c r="D783" s="21" t="s">
        <v>10786</v>
      </c>
      <c r="E783" s="21" t="s">
        <v>10787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10800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10791</v>
      </c>
      <c r="C784" s="21" t="s">
        <v>10788</v>
      </c>
      <c r="D784" s="21" t="s">
        <v>10789</v>
      </c>
      <c r="E784" s="21" t="s">
        <v>10790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10801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10792</v>
      </c>
      <c r="C785" s="21" t="s">
        <v>10793</v>
      </c>
      <c r="D785" s="21" t="s">
        <v>10794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10803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10795</v>
      </c>
      <c r="C786" s="21" t="s">
        <v>10796</v>
      </c>
      <c r="D786" s="21" t="s">
        <v>10797</v>
      </c>
      <c r="E786" s="21" t="s">
        <v>10798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10802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10813</v>
      </c>
      <c r="C787" s="21" t="s">
        <v>10810</v>
      </c>
      <c r="D787" s="21" t="s">
        <v>10811</v>
      </c>
      <c r="E787" s="21" t="s">
        <v>10812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10831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10816</v>
      </c>
      <c r="C788" s="21" t="s">
        <v>10814</v>
      </c>
      <c r="D788" s="21" t="s">
        <v>10815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10830</v>
      </c>
      <c r="J788" s="22">
        <v>46164</v>
      </c>
      <c r="K788" s="21">
        <v>9906666238</v>
      </c>
      <c r="L788" s="21" t="s">
        <v>68</v>
      </c>
      <c r="M788" s="23" t="s">
        <v>10989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10825</v>
      </c>
      <c r="C789" s="21" t="s">
        <v>10826</v>
      </c>
      <c r="D789" s="21" t="s">
        <v>10827</v>
      </c>
      <c r="E789" s="21" t="s">
        <v>10828</v>
      </c>
      <c r="F789" s="21" t="s">
        <v>12</v>
      </c>
      <c r="G789" s="21" t="s">
        <v>178</v>
      </c>
      <c r="H789" s="21" t="str">
        <f>IF(LEFT(I789,4)="JK13","PULWAMA",IF(LEFT(I789,4)="JK01","SRINAGAR",IF(LEFT(I789,4)="JK04","BUDGAM",IF(LEFT(I789,4)="JK03","ANANTNAG",IF(LEFT(I789,4)="LA01","KARGIL",IF(LEFT(I789,4)="JK05","BARAMULLA",IF(LEFT(I789,4)="26BH","BHARAT",IF(LEFT(I789,4)="25BH","BHARAT",IF(LEFT(I789,4)="JK12","POONCH",IF(LEFT(I789,4)="JK16","GANDERBAL",IF(LEFT(I789,4)="JK18","KULGAM",IF(LEFT(I789,4)="JK22","SHOPIAN",IF(LEFT(I789,4)="JK02","JAMMU",IF(LEFT(I789,4)="JK09","KUPWARA",IF(LEFT(I789,4)="JK15","BANDIPORA",IF(LEFT(I789,4)="JK17","KISHTWAR",IF(LEFT(I789,4)="LA01","KARGIL",IF(LEFT(I789,1)="T","TEMP","NEW"))))))))))))))))))</f>
        <v>SRINAGAR</v>
      </c>
      <c r="I789" s="21" t="s">
        <v>10829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10821</v>
      </c>
      <c r="C790" s="21" t="s">
        <v>10822</v>
      </c>
      <c r="D790" s="21" t="s">
        <v>10823</v>
      </c>
      <c r="E790" s="21" t="s">
        <v>10824</v>
      </c>
      <c r="F790" s="21" t="s">
        <v>12</v>
      </c>
      <c r="G790" s="21" t="s">
        <v>178</v>
      </c>
      <c r="H790" s="21" t="str">
        <f>IF(LEFT(I790,4)="JK13","PULWAMA",IF(LEFT(I790,4)="JK01","SRINAGAR",IF(LEFT(I790,4)="JK04","BUDGAM",IF(LEFT(I790,4)="JK03","ANANTNAG",IF(LEFT(I790,4)="LA01","KARGIL",IF(LEFT(I790,4)="JK05","BARAMULLA",IF(LEFT(I790,4)="26BH","BHARAT",IF(LEFT(I790,4)="25BH","BHARAT",IF(LEFT(I790,4)="JK12","POONCH",IF(LEFT(I790,4)="JK16","GANDERBAL",IF(LEFT(I790,4)="JK18","KULGAM",IF(LEFT(I790,4)="JK22","SHOPIAN",IF(LEFT(I790,4)="JK02","JAMMU",IF(LEFT(I790,4)="JK09","KUPWARA",IF(LEFT(I790,4)="JK15","BANDIPORA",IF(LEFT(I790,4)="JK17","KISHTWAR",IF(LEFT(I790,4)="LA01","KARGIL",IF(LEFT(I790,1)="T","TEMP","NEW"))))))))))))))))))</f>
        <v>TEMP</v>
      </c>
      <c r="I790" s="21" t="s">
        <v>10832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10843</v>
      </c>
      <c r="C791" s="21" t="s">
        <v>10840</v>
      </c>
      <c r="D791" s="21" t="s">
        <v>10841</v>
      </c>
      <c r="E791" s="21" t="s">
        <v>10842</v>
      </c>
      <c r="F791" s="21" t="s">
        <v>12</v>
      </c>
      <c r="G791" s="21" t="s">
        <v>178</v>
      </c>
      <c r="H791" s="21" t="str">
        <f t="shared" ref="H791:H800" si="26">IF(LEFT(I791,4)="JK13","PULWAMA",IF(LEFT(I791,4)="JK01","SRINAGAR",IF(LEFT(I791,4)="JK04","BUDGAM",IF(LEFT(I791,4)="JK03","ANANTNAG",IF(LEFT(I791,4)="LA01","KARGIL",IF(LEFT(I791,4)="JK05","BARAMULLA",IF(LEFT(I791,4)="26BH","BHARAT",IF(LEFT(I791,4)="25BH","BHARAT",IF(LEFT(I791,4)="JK12","POONCH",IF(LEFT(I791,4)="JK16","GANDERBAL",IF(LEFT(I791,4)="JK18","KULGAM",IF(LEFT(I791,4)="JK22","SHOPIAN",IF(LEFT(I791,4)="JK02","JAMMU",IF(LEFT(I791,4)="JK09","KUPWARA",IF(LEFT(I791,4)="JK15","BANDIPORA",IF(LEFT(I791,4)="JK17","KISHTWAR",IF(LEFT(I791,4)="LA01","KARGIL",IF(LEFT(I791,1)="T","TEMP","NEW"))))))))))))))))))</f>
        <v>SRINAGAR</v>
      </c>
      <c r="I791" s="21" t="s">
        <v>10866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10844</v>
      </c>
      <c r="C792" s="21" t="s">
        <v>10845</v>
      </c>
      <c r="D792" s="21" t="s">
        <v>10846</v>
      </c>
      <c r="E792" s="21" t="s">
        <v>10847</v>
      </c>
      <c r="F792" s="21" t="s">
        <v>5</v>
      </c>
      <c r="G792" s="21" t="s">
        <v>196</v>
      </c>
      <c r="H792" s="21" t="str">
        <f t="shared" si="26"/>
        <v>KUPWARA</v>
      </c>
      <c r="I792" s="21" t="s">
        <v>10865</v>
      </c>
      <c r="J792" s="22">
        <v>46164</v>
      </c>
      <c r="K792" s="21">
        <v>9797964101</v>
      </c>
      <c r="L792" s="21" t="s">
        <v>7689</v>
      </c>
      <c r="M792" s="23" t="s">
        <v>11067</v>
      </c>
      <c r="N792" s="22">
        <v>46174</v>
      </c>
      <c r="O792" s="21"/>
      <c r="P792" s="24"/>
      <c r="Q792" s="21"/>
      <c r="R792" s="21"/>
    </row>
    <row r="793" spans="1:18" x14ac:dyDescent="0.25">
      <c r="A793" s="21">
        <f t="shared" si="24"/>
        <v>792</v>
      </c>
      <c r="B793" s="21" t="s">
        <v>10860</v>
      </c>
      <c r="C793" s="21" t="s">
        <v>10857</v>
      </c>
      <c r="D793" s="21" t="s">
        <v>10858</v>
      </c>
      <c r="E793" s="21" t="s">
        <v>10859</v>
      </c>
      <c r="F793" s="21" t="s">
        <v>5</v>
      </c>
      <c r="G793" s="21" t="s">
        <v>196</v>
      </c>
      <c r="H793" s="21" t="str">
        <f t="shared" si="26"/>
        <v>KULGAM</v>
      </c>
      <c r="I793" s="21" t="s">
        <v>10868</v>
      </c>
      <c r="J793" s="22">
        <v>46165</v>
      </c>
      <c r="K793" s="21">
        <v>6006180214</v>
      </c>
      <c r="L793" s="21" t="s">
        <v>434</v>
      </c>
      <c r="M793" s="23" t="s">
        <v>11085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10861</v>
      </c>
      <c r="C794" s="21" t="s">
        <v>10862</v>
      </c>
      <c r="D794" s="21" t="s">
        <v>10863</v>
      </c>
      <c r="E794" s="21" t="s">
        <v>10864</v>
      </c>
      <c r="F794" s="21" t="s">
        <v>65</v>
      </c>
      <c r="G794" s="21" t="s">
        <v>197</v>
      </c>
      <c r="H794" s="21" t="str">
        <f t="shared" si="26"/>
        <v>PULWAMA</v>
      </c>
      <c r="I794" s="21" t="s">
        <v>10867</v>
      </c>
      <c r="J794" s="22">
        <v>46165</v>
      </c>
      <c r="K794" s="21">
        <v>9622728446</v>
      </c>
      <c r="L794" s="21" t="s">
        <v>7228</v>
      </c>
      <c r="M794" s="23"/>
      <c r="N794" s="22"/>
      <c r="O794" s="21"/>
      <c r="P794" s="24"/>
      <c r="Q794" s="21"/>
      <c r="R794" s="21"/>
    </row>
    <row r="795" spans="1:18" x14ac:dyDescent="0.25">
      <c r="A795" s="21">
        <f t="shared" si="24"/>
        <v>794</v>
      </c>
      <c r="B795" s="21" t="s">
        <v>10870</v>
      </c>
      <c r="C795" s="21" t="s">
        <v>10871</v>
      </c>
      <c r="D795" s="21" t="s">
        <v>10872</v>
      </c>
      <c r="E795" s="21" t="s">
        <v>10873</v>
      </c>
      <c r="F795" s="21" t="s">
        <v>190</v>
      </c>
      <c r="G795" s="21" t="s">
        <v>196</v>
      </c>
      <c r="H795" s="21" t="str">
        <f t="shared" si="26"/>
        <v>SRINAGAR</v>
      </c>
      <c r="I795" s="21" t="s">
        <v>10874</v>
      </c>
      <c r="J795" s="22">
        <v>46165</v>
      </c>
      <c r="K795" s="21">
        <v>6005528953</v>
      </c>
      <c r="L795" s="21" t="s">
        <v>2143</v>
      </c>
      <c r="M795" s="23" t="s">
        <v>8531</v>
      </c>
      <c r="N795" s="22">
        <v>46167</v>
      </c>
      <c r="O795" s="21" t="s">
        <v>23</v>
      </c>
      <c r="P795" s="24">
        <v>46165</v>
      </c>
      <c r="Q795" s="21" t="s">
        <v>6454</v>
      </c>
      <c r="R795" s="21"/>
    </row>
    <row r="796" spans="1:18" x14ac:dyDescent="0.25">
      <c r="A796" s="21">
        <f t="shared" si="24"/>
        <v>795</v>
      </c>
      <c r="B796" s="21" t="s">
        <v>10881</v>
      </c>
      <c r="C796" s="21" t="s">
        <v>10879</v>
      </c>
      <c r="D796" s="21" t="s">
        <v>10880</v>
      </c>
      <c r="E796" s="21" t="s">
        <v>10878</v>
      </c>
      <c r="F796" s="21" t="s">
        <v>12</v>
      </c>
      <c r="G796" s="21" t="s">
        <v>178</v>
      </c>
      <c r="H796" s="21" t="str">
        <f t="shared" si="26"/>
        <v>NEW</v>
      </c>
      <c r="I796" s="21" t="s">
        <v>10883</v>
      </c>
      <c r="J796" s="22">
        <v>46165</v>
      </c>
      <c r="K796" s="21">
        <v>9622281979</v>
      </c>
      <c r="L796" s="21" t="s">
        <v>547</v>
      </c>
      <c r="M796" s="23" t="s">
        <v>7445</v>
      </c>
      <c r="N796" s="22">
        <v>46183</v>
      </c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10900</v>
      </c>
      <c r="C797" s="21" t="s">
        <v>10896</v>
      </c>
      <c r="D797" s="21" t="s">
        <v>10911</v>
      </c>
      <c r="E797" s="21" t="s">
        <v>10898</v>
      </c>
      <c r="F797" s="21" t="s">
        <v>5</v>
      </c>
      <c r="G797" s="21" t="s">
        <v>196</v>
      </c>
      <c r="H797" s="21" t="str">
        <f t="shared" si="26"/>
        <v>ANANTNAG</v>
      </c>
      <c r="I797" s="21" t="s">
        <v>10902</v>
      </c>
      <c r="J797" s="22">
        <v>46167</v>
      </c>
      <c r="K797" s="21">
        <v>9906564039</v>
      </c>
      <c r="L797" s="21" t="s">
        <v>10929</v>
      </c>
      <c r="M797" s="23" t="s">
        <v>11119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10901</v>
      </c>
      <c r="C798" s="21" t="s">
        <v>10897</v>
      </c>
      <c r="D798" s="21" t="s">
        <v>10912</v>
      </c>
      <c r="E798" s="21" t="s">
        <v>10899</v>
      </c>
      <c r="F798" s="21" t="s">
        <v>36</v>
      </c>
      <c r="G798" s="21" t="s">
        <v>196</v>
      </c>
      <c r="H798" s="21" t="str">
        <f>IF(LEFT(I798,4)="JK13","PULWAMA",IF(LEFT(I798,4)="JK01","SRINAGAR",IF(LEFT(I798,4)="JK04","BUDGAM",IF(LEFT(I798,4)="JK03","ANANTNAG",IF(LEFT(I798,4)="LA01","KARGIL",IF(LEFT(I798,4)="JK05","BARAMULLA",IF(LEFT(I798,4)="26BH","BHARAT",IF(LEFT(I798,4)="25BH","BHARAT",IF(LEFT(I798,4)="JK12","POONCH",IF(LEFT(I798,4)="JK16","GANDERBAL",IF(LEFT(I798,4)="JK18","KULGAM",IF(LEFT(I798,4)="JK22","SHOPIAN",IF(LEFT(I798,4)="JK02","JAMMU",IF(LEFT(I798,4)="JK09","KUPWARA",IF(LEFT(I798,4)="JK15","BANDIPORA",IF(LEFT(I798,4)="JK17","KISHTWAR",IF(LEFT(I798,4)="LA01","KARGIL",IF(LEFT(I798,1)="T","TEMP","NEW"))))))))))))))))))</f>
        <v>SRINAGAR</v>
      </c>
      <c r="I798" s="21" t="s">
        <v>10903</v>
      </c>
      <c r="J798" s="22">
        <v>46167</v>
      </c>
      <c r="K798" s="21">
        <v>6005323353</v>
      </c>
      <c r="L798" s="21" t="s">
        <v>73</v>
      </c>
      <c r="M798" s="23" t="s">
        <v>11168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10904</v>
      </c>
      <c r="C799" s="21" t="s">
        <v>10905</v>
      </c>
      <c r="D799" s="21" t="s">
        <v>10906</v>
      </c>
      <c r="E799" s="21" t="s">
        <v>10907</v>
      </c>
      <c r="F799" s="21" t="s">
        <v>98</v>
      </c>
      <c r="G799" s="21" t="s">
        <v>171</v>
      </c>
      <c r="H799" s="21" t="str">
        <f>IF(LEFT(I799,4)="JK13","PULWAMA",IF(LEFT(I799,4)="JK01","SRINAGAR",IF(LEFT(I799,4)="JK04","BUDGAM",IF(LEFT(I799,4)="JK03","ANANTNAG",IF(LEFT(I799,4)="LA01","KARGIL",IF(LEFT(I799,4)="JK05","BARAMULLA",IF(LEFT(I799,4)="26BH","BHARAT",IF(LEFT(I799,4)="25BH","BHARAT",IF(LEFT(I799,4)="JK12","POONCH",IF(LEFT(I799,4)="JK16","GANDERBAL",IF(LEFT(I799,4)="JK18","KULGAM",IF(LEFT(I799,4)="JK22","SHOPIAN",IF(LEFT(I799,4)="JK02","JAMMU",IF(LEFT(I799,4)="JK09","KUPWARA",IF(LEFT(I799,4)="JK15","BANDIPORA",IF(LEFT(I799,4)="JK17","KISHTWAR",IF(LEFT(I799,4)="LA01","KARGIL",IF(LEFT(I799,1)="T","TEMP","NEW"))))))))))))))))))</f>
        <v>BARAMULLA</v>
      </c>
      <c r="I799" s="21" t="s">
        <v>10914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10892</v>
      </c>
      <c r="C800" s="21" t="s">
        <v>10884</v>
      </c>
      <c r="D800" s="21" t="s">
        <v>10909</v>
      </c>
      <c r="E800" s="21" t="s">
        <v>10888</v>
      </c>
      <c r="F800" s="21" t="s">
        <v>98</v>
      </c>
      <c r="G800" s="21" t="s">
        <v>223</v>
      </c>
      <c r="H800" s="21" t="str">
        <f t="shared" si="26"/>
        <v>BUDGAM</v>
      </c>
      <c r="I800" s="21" t="s">
        <v>10916</v>
      </c>
      <c r="J800" s="22">
        <v>46167</v>
      </c>
      <c r="K800" s="21">
        <v>7889479226</v>
      </c>
      <c r="L800" s="21" t="s">
        <v>26</v>
      </c>
      <c r="M800" s="23" t="s">
        <v>10996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10893</v>
      </c>
      <c r="C801" s="21" t="s">
        <v>10885</v>
      </c>
      <c r="D801" s="21" t="s">
        <v>10910</v>
      </c>
      <c r="E801" s="21" t="s">
        <v>10889</v>
      </c>
      <c r="F801" s="21" t="s">
        <v>5</v>
      </c>
      <c r="G801" s="21" t="s">
        <v>196</v>
      </c>
      <c r="H801" s="21" t="str">
        <f t="shared" ref="H801:H806" si="27">IF(LEFT(I801,4)="JK13","PULWAMA",IF(LEFT(I801,4)="JK01","SRINAGAR",IF(LEFT(I801,4)="JK04","BUDGAM",IF(LEFT(I801,4)="JK03","ANANTNAG",IF(LEFT(I801,4)="LA01","KARGIL",IF(LEFT(I801,4)="JK05","BARAMULLA",IF(LEFT(I801,4)="26BH","BHARAT",IF(LEFT(I801,4)="25BH","BHARAT",IF(LEFT(I801,4)="JK12","POONCH",IF(LEFT(I801,4)="JK16","GANDERBAL",IF(LEFT(I801,4)="JK18","KULGAM",IF(LEFT(I801,4)="JK22","SHOPIAN",IF(LEFT(I801,4)="JK02","JAMMU",IF(LEFT(I801,4)="JK09","KUPWARA",IF(LEFT(I801,4)="JK15","BANDIPORA",IF(LEFT(I801,4)="JK17","KISHTWAR",IF(LEFT(I801,4)="LA01","KARGIL",IF(LEFT(I801,1)="T","TEMP","NEW"))))))))))))))))))</f>
        <v>BUDGAM</v>
      </c>
      <c r="I801" s="21" t="s">
        <v>10915</v>
      </c>
      <c r="J801" s="22">
        <v>46167</v>
      </c>
      <c r="K801" s="21">
        <v>9055028530</v>
      </c>
      <c r="L801" s="21" t="s">
        <v>68</v>
      </c>
      <c r="M801" s="23" t="s">
        <v>11117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10894</v>
      </c>
      <c r="C802" s="21" t="s">
        <v>10886</v>
      </c>
      <c r="D802" s="21" t="s">
        <v>10908</v>
      </c>
      <c r="E802" s="21" t="s">
        <v>10890</v>
      </c>
      <c r="F802" s="21" t="s">
        <v>12</v>
      </c>
      <c r="G802" s="21" t="s">
        <v>178</v>
      </c>
      <c r="H802" s="21" t="str">
        <f t="shared" si="27"/>
        <v>SRINAGAR</v>
      </c>
      <c r="I802" s="21" t="s">
        <v>10918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10895</v>
      </c>
      <c r="C803" s="21" t="s">
        <v>10887</v>
      </c>
      <c r="D803" s="21" t="s">
        <v>10913</v>
      </c>
      <c r="E803" s="21" t="s">
        <v>10891</v>
      </c>
      <c r="F803" s="21" t="s">
        <v>5</v>
      </c>
      <c r="G803" s="21" t="s">
        <v>197</v>
      </c>
      <c r="H803" s="21" t="str">
        <f t="shared" si="27"/>
        <v>SRINAGAR</v>
      </c>
      <c r="I803" s="21" t="s">
        <v>10917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10925</v>
      </c>
      <c r="C804" s="21" t="s">
        <v>10926</v>
      </c>
      <c r="D804" s="21" t="s">
        <v>10927</v>
      </c>
      <c r="E804" s="21" t="s">
        <v>10928</v>
      </c>
      <c r="F804" s="21" t="s">
        <v>98</v>
      </c>
      <c r="G804" s="21" t="s">
        <v>178</v>
      </c>
      <c r="H804" s="21" t="str">
        <f t="shared" si="27"/>
        <v>SRINAGAR</v>
      </c>
      <c r="I804" s="21" t="s">
        <v>10934</v>
      </c>
      <c r="J804" s="22">
        <v>46167</v>
      </c>
      <c r="K804" s="21">
        <v>7051923420</v>
      </c>
      <c r="L804" s="21" t="s">
        <v>10242</v>
      </c>
      <c r="M804" s="23" t="s">
        <v>11285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10931</v>
      </c>
      <c r="C805" s="21" t="s">
        <v>10850</v>
      </c>
      <c r="D805" s="21" t="s">
        <v>10932</v>
      </c>
      <c r="E805" s="21" t="s">
        <v>10848</v>
      </c>
      <c r="F805" s="21" t="s">
        <v>277</v>
      </c>
      <c r="G805" s="21" t="s">
        <v>197</v>
      </c>
      <c r="H805" s="21" t="str">
        <f t="shared" si="27"/>
        <v>SRINAGAR</v>
      </c>
      <c r="I805" s="21" t="s">
        <v>10933</v>
      </c>
      <c r="J805" s="22">
        <v>46167</v>
      </c>
      <c r="K805" s="21">
        <v>9796990530</v>
      </c>
      <c r="L805" s="21" t="s">
        <v>73</v>
      </c>
      <c r="M805" s="23" t="s">
        <v>10978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10935</v>
      </c>
      <c r="C806" s="21" t="s">
        <v>10936</v>
      </c>
      <c r="D806" s="21" t="s">
        <v>10937</v>
      </c>
      <c r="E806" s="21" t="s">
        <v>10938</v>
      </c>
      <c r="F806" s="21" t="s">
        <v>36</v>
      </c>
      <c r="G806" s="21" t="s">
        <v>196</v>
      </c>
      <c r="H806" s="21" t="str">
        <f t="shared" si="27"/>
        <v>GANDERBAL</v>
      </c>
      <c r="I806" s="21" t="s">
        <v>10944</v>
      </c>
      <c r="J806" s="22">
        <v>46168</v>
      </c>
      <c r="K806" s="21">
        <v>7006256901</v>
      </c>
      <c r="L806" s="21" t="s">
        <v>10242</v>
      </c>
      <c r="M806" s="23" t="s">
        <v>11169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10939</v>
      </c>
      <c r="C807" s="21" t="s">
        <v>10940</v>
      </c>
      <c r="D807" s="21" t="s">
        <v>10941</v>
      </c>
      <c r="E807" s="21" t="s">
        <v>10942</v>
      </c>
      <c r="F807" s="21" t="s">
        <v>12</v>
      </c>
      <c r="G807" s="21" t="s">
        <v>171</v>
      </c>
      <c r="H807" s="21" t="str">
        <f t="shared" ref="H807:H819" si="28">IF(LEFT(I807,4)="JK13","PULWAMA",IF(LEFT(I807,4)="JK01","SRINAGAR",IF(LEFT(I807,4)="JK04","BUDGAM",IF(LEFT(I807,4)="JK03","ANANTNAG",IF(LEFT(I807,4)="LA01","KARGIL",IF(LEFT(I807,4)="JK05","BARAMULLA",IF(LEFT(I807,4)="26BH","BHARAT",IF(LEFT(I807,4)="25BH","BHARAT",IF(LEFT(I807,4)="JK12","POONCH",IF(LEFT(I807,4)="JK16","GANDERBAL",IF(LEFT(I807,4)="JK18","KULGAM",IF(LEFT(I807,4)="JK22","SHOPIAN",IF(LEFT(I807,4)="JK02","JAMMU",IF(LEFT(I807,4)="JK09","KUPWARA",IF(LEFT(I807,4)="JK15","BANDIPORA",IF(LEFT(I807,4)="JK17","KISHTWAR",IF(LEFT(I807,4)="LA01","KARGIL",IF(LEFT(I807,1)="T","TEMP","NEW"))))))))))))))))))</f>
        <v>SHOPIAN</v>
      </c>
      <c r="I807" s="21" t="s">
        <v>10943</v>
      </c>
      <c r="J807" s="22">
        <v>46168</v>
      </c>
      <c r="K807" s="21">
        <v>9149409685</v>
      </c>
      <c r="L807" s="21" t="s">
        <v>9902</v>
      </c>
      <c r="M807" s="23"/>
      <c r="N807" s="22"/>
      <c r="O807" s="21"/>
      <c r="P807" s="24"/>
      <c r="Q807" s="21"/>
      <c r="R807" s="21"/>
    </row>
    <row r="808" spans="1:18" x14ac:dyDescent="0.25">
      <c r="A808" s="21">
        <f t="shared" si="24"/>
        <v>807</v>
      </c>
      <c r="B808" s="21" t="s">
        <v>10950</v>
      </c>
      <c r="C808" s="21" t="s">
        <v>10951</v>
      </c>
      <c r="D808" s="21" t="s">
        <v>10952</v>
      </c>
      <c r="E808" s="21" t="s">
        <v>10953</v>
      </c>
      <c r="F808" s="21" t="s">
        <v>12</v>
      </c>
      <c r="G808" s="21" t="s">
        <v>178</v>
      </c>
      <c r="H808" s="21" t="str">
        <f t="shared" si="28"/>
        <v>SRINAGAR</v>
      </c>
      <c r="I808" s="21" t="s">
        <v>10968</v>
      </c>
      <c r="J808" s="22">
        <v>46168</v>
      </c>
      <c r="K808" s="21">
        <v>8825062872</v>
      </c>
      <c r="L808" s="21" t="s">
        <v>10162</v>
      </c>
      <c r="M808" s="23" t="s">
        <v>7765</v>
      </c>
      <c r="N808" s="22">
        <v>46172</v>
      </c>
      <c r="O808" s="21" t="s">
        <v>23</v>
      </c>
      <c r="P808" s="24">
        <v>46172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10954</v>
      </c>
      <c r="C809" s="21" t="s">
        <v>10955</v>
      </c>
      <c r="D809" s="21" t="s">
        <v>10956</v>
      </c>
      <c r="E809" s="21" t="s">
        <v>10957</v>
      </c>
      <c r="F809" s="21" t="s">
        <v>12</v>
      </c>
      <c r="G809" s="21" t="s">
        <v>197</v>
      </c>
      <c r="H809" s="21" t="str">
        <f t="shared" si="28"/>
        <v>SHOPIAN</v>
      </c>
      <c r="I809" s="21" t="s">
        <v>10969</v>
      </c>
      <c r="J809" s="22">
        <v>46168</v>
      </c>
      <c r="K809" s="21">
        <v>7006762518</v>
      </c>
      <c r="L809" s="21" t="s">
        <v>7228</v>
      </c>
      <c r="M809" s="23"/>
      <c r="N809" s="22"/>
      <c r="O809" s="21"/>
      <c r="P809" s="24"/>
      <c r="Q809" s="21"/>
      <c r="R809" s="21"/>
    </row>
    <row r="810" spans="1:18" x14ac:dyDescent="0.25">
      <c r="A810" s="21">
        <f t="shared" si="24"/>
        <v>809</v>
      </c>
      <c r="B810" s="21" t="s">
        <v>10958</v>
      </c>
      <c r="C810" s="21" t="s">
        <v>10965</v>
      </c>
      <c r="D810" s="21" t="s">
        <v>10959</v>
      </c>
      <c r="E810" s="21" t="s">
        <v>10960</v>
      </c>
      <c r="F810" s="21" t="s">
        <v>12</v>
      </c>
      <c r="G810" s="21" t="s">
        <v>197</v>
      </c>
      <c r="H810" s="21" t="str">
        <f t="shared" si="28"/>
        <v>BUDGAM</v>
      </c>
      <c r="I810" s="21" t="s">
        <v>10966</v>
      </c>
      <c r="J810" s="22">
        <v>46168</v>
      </c>
      <c r="K810" s="21">
        <v>7889540230</v>
      </c>
      <c r="L810" s="21" t="s">
        <v>10242</v>
      </c>
      <c r="M810" s="23" t="s">
        <v>11169</v>
      </c>
      <c r="N810" s="22">
        <v>46183</v>
      </c>
      <c r="O810" s="21" t="s">
        <v>23</v>
      </c>
      <c r="P810" s="24">
        <v>46168</v>
      </c>
      <c r="Q810" s="21" t="s">
        <v>6454</v>
      </c>
      <c r="R810" s="21"/>
    </row>
    <row r="811" spans="1:18" x14ac:dyDescent="0.25">
      <c r="A811" s="21">
        <f t="shared" si="24"/>
        <v>810</v>
      </c>
      <c r="B811" s="21" t="s">
        <v>10961</v>
      </c>
      <c r="C811" s="21" t="s">
        <v>10962</v>
      </c>
      <c r="D811" s="21" t="s">
        <v>10963</v>
      </c>
      <c r="E811" s="21" t="s">
        <v>10964</v>
      </c>
      <c r="F811" s="21" t="s">
        <v>5</v>
      </c>
      <c r="G811" s="21" t="s">
        <v>197</v>
      </c>
      <c r="H811" s="21" t="str">
        <f t="shared" si="28"/>
        <v>KUPWARA</v>
      </c>
      <c r="I811" s="21" t="s">
        <v>10967</v>
      </c>
      <c r="J811" s="22">
        <v>46168</v>
      </c>
      <c r="K811" s="21">
        <v>9682167032</v>
      </c>
      <c r="L811" s="21" t="s">
        <v>191</v>
      </c>
      <c r="M811" s="23" t="s">
        <v>7585</v>
      </c>
      <c r="N811" s="22">
        <v>46168</v>
      </c>
      <c r="O811" s="21" t="s">
        <v>23</v>
      </c>
      <c r="P811" s="24">
        <v>46168</v>
      </c>
      <c r="Q811" s="21" t="s">
        <v>6454</v>
      </c>
      <c r="R811" s="21"/>
    </row>
    <row r="812" spans="1:18" x14ac:dyDescent="0.25">
      <c r="A812" s="21">
        <f t="shared" si="24"/>
        <v>811</v>
      </c>
      <c r="B812" s="21" t="s">
        <v>10971</v>
      </c>
      <c r="C812" s="21" t="s">
        <v>10972</v>
      </c>
      <c r="D812" s="21" t="s">
        <v>10973</v>
      </c>
      <c r="E812" s="21" t="s">
        <v>10974</v>
      </c>
      <c r="F812" s="21" t="s">
        <v>12</v>
      </c>
      <c r="G812" s="21" t="s">
        <v>178</v>
      </c>
      <c r="H812" s="21" t="str">
        <f t="shared" si="28"/>
        <v>PULWAMA</v>
      </c>
      <c r="I812" s="21" t="s">
        <v>10979</v>
      </c>
      <c r="J812" s="22">
        <v>46168</v>
      </c>
      <c r="K812" s="21">
        <v>7889400213</v>
      </c>
      <c r="L812" s="21" t="s">
        <v>6515</v>
      </c>
      <c r="M812" s="23"/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10820</v>
      </c>
      <c r="C813" s="21" t="s">
        <v>10817</v>
      </c>
      <c r="D813" s="21" t="s">
        <v>10818</v>
      </c>
      <c r="E813" s="21" t="s">
        <v>10819</v>
      </c>
      <c r="F813" s="21" t="s">
        <v>12</v>
      </c>
      <c r="G813" s="21" t="s">
        <v>197</v>
      </c>
      <c r="H813" s="21" t="str">
        <f>IF(LEFT(I813,4)="JK13","PULWAMA",IF(LEFT(I813,4)="JK01","SRINAGAR",IF(LEFT(I813,4)="JK04","BUDGAM",IF(LEFT(I813,4)="JK03","ANANTNAG",IF(LEFT(I813,4)="LA01","KARGIL",IF(LEFT(I813,4)="JK05","BARAMULLA",IF(LEFT(I813,4)="26BH","BHARAT",IF(LEFT(I813,4)="25BH","BHARAT",IF(LEFT(I813,4)="JK12","POONCH",IF(LEFT(I813,4)="JK16","GANDERBAL",IF(LEFT(I813,4)="JK18","KULGAM",IF(LEFT(I813,4)="JK22","SHOPIAN",IF(LEFT(I813,4)="JK02","JAMMU",IF(LEFT(I813,4)="JK09","KUPWARA",IF(LEFT(I813,4)="JK15","BANDIPORA",IF(LEFT(I813,4)="JK17","KISHTWAR",IF(LEFT(I813,4)="LA01","KARGIL",IF(LEFT(I813,1)="T","TEMP","NEW"))))))))))))))))))</f>
        <v>BARAMULLA</v>
      </c>
      <c r="I813" s="21" t="s">
        <v>10980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10984</v>
      </c>
      <c r="C814" s="21" t="s">
        <v>10981</v>
      </c>
      <c r="D814" s="21" t="s">
        <v>10982</v>
      </c>
      <c r="E814" s="21" t="s">
        <v>10983</v>
      </c>
      <c r="F814" s="21" t="s">
        <v>3126</v>
      </c>
      <c r="G814" s="21" t="s">
        <v>6469</v>
      </c>
      <c r="H814" s="21" t="str">
        <f t="shared" si="28"/>
        <v>SHOPIAN</v>
      </c>
      <c r="I814" s="21" t="s">
        <v>10991</v>
      </c>
      <c r="J814" s="22">
        <v>46172</v>
      </c>
      <c r="K814" s="21">
        <v>9858414762</v>
      </c>
      <c r="L814" s="21" t="s">
        <v>7689</v>
      </c>
      <c r="M814" s="23" t="s">
        <v>8930</v>
      </c>
      <c r="N814" s="22">
        <v>46179</v>
      </c>
      <c r="O814" s="21" t="s">
        <v>23</v>
      </c>
      <c r="P814" s="24">
        <v>46174</v>
      </c>
      <c r="Q814" s="21" t="s">
        <v>6454</v>
      </c>
      <c r="R814" s="21"/>
    </row>
    <row r="815" spans="1:18" x14ac:dyDescent="0.25">
      <c r="A815" s="21">
        <f t="shared" si="24"/>
        <v>814</v>
      </c>
      <c r="B815" s="21" t="s">
        <v>10986</v>
      </c>
      <c r="C815" s="21" t="s">
        <v>10985</v>
      </c>
      <c r="D815" s="21" t="s">
        <v>10987</v>
      </c>
      <c r="E815" s="21" t="s">
        <v>10988</v>
      </c>
      <c r="F815" s="21" t="s">
        <v>116</v>
      </c>
      <c r="G815" s="21" t="s">
        <v>197</v>
      </c>
      <c r="H815" s="21" t="str">
        <f t="shared" si="28"/>
        <v>SRINAGAR</v>
      </c>
      <c r="I815" s="21" t="s">
        <v>10990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10992</v>
      </c>
      <c r="C816" s="21" t="s">
        <v>10993</v>
      </c>
      <c r="D816" s="21" t="s">
        <v>10994</v>
      </c>
      <c r="E816" s="21" t="s">
        <v>10995</v>
      </c>
      <c r="F816" s="21" t="s">
        <v>5</v>
      </c>
      <c r="G816" s="21" t="s">
        <v>197</v>
      </c>
      <c r="H816" s="21" t="str">
        <f t="shared" si="28"/>
        <v>BANDIPORA</v>
      </c>
      <c r="I816" s="21" t="s">
        <v>11011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11000</v>
      </c>
      <c r="C817" s="21" t="s">
        <v>10997</v>
      </c>
      <c r="D817" s="21" t="s">
        <v>10998</v>
      </c>
      <c r="E817" s="21" t="s">
        <v>10999</v>
      </c>
      <c r="F817" s="21" t="s">
        <v>12</v>
      </c>
      <c r="G817" s="21" t="s">
        <v>197</v>
      </c>
      <c r="H817" s="21" t="str">
        <f t="shared" si="28"/>
        <v>BARAMULLA</v>
      </c>
      <c r="I817" s="21" t="s">
        <v>11012</v>
      </c>
      <c r="J817" s="22">
        <v>46172</v>
      </c>
      <c r="K817" s="21">
        <v>9682555158</v>
      </c>
      <c r="L817" s="21" t="s">
        <v>1122</v>
      </c>
      <c r="M817" s="23" t="s">
        <v>6436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11004</v>
      </c>
      <c r="C818" s="21" t="s">
        <v>11001</v>
      </c>
      <c r="D818" s="21" t="s">
        <v>11002</v>
      </c>
      <c r="E818" s="21" t="s">
        <v>11003</v>
      </c>
      <c r="F818" s="21" t="s">
        <v>12</v>
      </c>
      <c r="G818" s="21" t="s">
        <v>197</v>
      </c>
      <c r="H818" s="21" t="str">
        <f t="shared" si="28"/>
        <v>SRINAGAR</v>
      </c>
      <c r="I818" s="21" t="s">
        <v>11010</v>
      </c>
      <c r="J818" s="22">
        <v>46172</v>
      </c>
      <c r="K818" s="21">
        <v>9596263355</v>
      </c>
      <c r="L818" s="21" t="s">
        <v>10242</v>
      </c>
      <c r="M818" s="23" t="s">
        <v>11082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11009</v>
      </c>
      <c r="C819" s="21" t="s">
        <v>11006</v>
      </c>
      <c r="D819" s="21" t="s">
        <v>11007</v>
      </c>
      <c r="E819" s="21" t="s">
        <v>11005</v>
      </c>
      <c r="F819" s="21" t="s">
        <v>12</v>
      </c>
      <c r="G819" s="21" t="s">
        <v>197</v>
      </c>
      <c r="H819" s="21" t="str">
        <f t="shared" si="28"/>
        <v>SRINAGAR</v>
      </c>
      <c r="I819" s="21" t="s">
        <v>11013</v>
      </c>
      <c r="J819" s="22">
        <v>46172</v>
      </c>
      <c r="K819" s="21">
        <v>7889461451</v>
      </c>
      <c r="L819" s="21" t="s">
        <v>11008</v>
      </c>
      <c r="M819" s="23" t="s">
        <v>11121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11017</v>
      </c>
      <c r="C820" s="21" t="s">
        <v>11014</v>
      </c>
      <c r="D820" s="21" t="s">
        <v>11015</v>
      </c>
      <c r="E820" s="21" t="s">
        <v>2634</v>
      </c>
      <c r="F820" s="21" t="s">
        <v>5</v>
      </c>
      <c r="G820" s="21" t="s">
        <v>197</v>
      </c>
      <c r="H820" s="21" t="str">
        <f t="shared" ref="H820:H824" si="29">IF(LEFT(I820,4)="JK13","PULWAMA",IF(LEFT(I820,4)="JK01","SRINAGAR",IF(LEFT(I820,4)="JK04","BUDGAM",IF(LEFT(I820,4)="JK03","ANANTNAG",IF(LEFT(I820,4)="LA01","KARGIL",IF(LEFT(I820,4)="JK05","BARAMULLA",IF(LEFT(I820,4)="26BH","BHARAT",IF(LEFT(I820,4)="25BH","BHARAT",IF(LEFT(I820,4)="JK12","POONCH",IF(LEFT(I820,4)="JK16","GANDERBAL",IF(LEFT(I820,4)="JK18","KULGAM",IF(LEFT(I820,4)="JK22","SHOPIAN",IF(LEFT(I820,4)="JK02","JAMMU",IF(LEFT(I820,4)="JK09","KUPWARA",IF(LEFT(I820,4)="JK15","BANDIPORA",IF(LEFT(I820,4)="JK17","KISHTWAR",IF(LEFT(I820,4)="LA01","KARGIL",IF(LEFT(I820,1)="T","TEMP","NEW"))))))))))))))))))</f>
        <v>BANDIPORA</v>
      </c>
      <c r="I820" s="21" t="s">
        <v>11028</v>
      </c>
      <c r="J820" s="22">
        <v>46172</v>
      </c>
      <c r="K820" s="21">
        <v>7298499896</v>
      </c>
      <c r="L820" s="21" t="s">
        <v>11016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11018</v>
      </c>
      <c r="C821" s="21" t="s">
        <v>11019</v>
      </c>
      <c r="D821" s="21" t="s">
        <v>11020</v>
      </c>
      <c r="E821" s="21" t="s">
        <v>11021</v>
      </c>
      <c r="F821" s="21" t="s">
        <v>3126</v>
      </c>
      <c r="G821" s="21" t="s">
        <v>197</v>
      </c>
      <c r="H821" s="21" t="str">
        <f t="shared" si="29"/>
        <v>PULWAMA</v>
      </c>
      <c r="I821" s="21" t="s">
        <v>11027</v>
      </c>
      <c r="J821" s="22">
        <v>46172</v>
      </c>
      <c r="K821" s="21">
        <v>7889312502</v>
      </c>
      <c r="L821" s="21" t="s">
        <v>9241</v>
      </c>
      <c r="M821" s="23" t="s">
        <v>11254</v>
      </c>
      <c r="N821" s="22">
        <v>46185</v>
      </c>
      <c r="O821" s="21" t="s">
        <v>23</v>
      </c>
      <c r="P821" s="24">
        <v>46174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11022</v>
      </c>
      <c r="C822" s="21" t="s">
        <v>11023</v>
      </c>
      <c r="D822" s="21" t="s">
        <v>11024</v>
      </c>
      <c r="E822" s="21" t="s">
        <v>11025</v>
      </c>
      <c r="F822" s="21" t="s">
        <v>12</v>
      </c>
      <c r="G822" s="21" t="s">
        <v>197</v>
      </c>
      <c r="H822" s="21" t="str">
        <f t="shared" si="29"/>
        <v>KULGAM</v>
      </c>
      <c r="I822" s="21" t="s">
        <v>11026</v>
      </c>
      <c r="J822" s="22">
        <v>46172</v>
      </c>
      <c r="K822" s="21">
        <v>8825051434</v>
      </c>
      <c r="L822" s="21" t="s">
        <v>11077</v>
      </c>
      <c r="M822" s="23" t="s">
        <v>11167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11029</v>
      </c>
      <c r="C823" s="21" t="s">
        <v>11030</v>
      </c>
      <c r="D823" s="21" t="s">
        <v>11031</v>
      </c>
      <c r="E823" s="21" t="s">
        <v>11032</v>
      </c>
      <c r="F823" s="21" t="s">
        <v>12</v>
      </c>
      <c r="G823" s="21" t="s">
        <v>197</v>
      </c>
      <c r="H823" s="21" t="str">
        <f t="shared" si="29"/>
        <v>BARAMULLA</v>
      </c>
      <c r="I823" s="21" t="s">
        <v>11034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11033</v>
      </c>
      <c r="C824" s="21" t="s">
        <v>11039</v>
      </c>
      <c r="D824" s="21" t="s">
        <v>11040</v>
      </c>
      <c r="E824" s="21" t="s">
        <v>11041</v>
      </c>
      <c r="F824" s="21" t="s">
        <v>36</v>
      </c>
      <c r="G824" s="21" t="s">
        <v>196</v>
      </c>
      <c r="H824" s="21" t="str">
        <f t="shared" si="29"/>
        <v>SRINAGAR</v>
      </c>
      <c r="I824" s="21" t="s">
        <v>11042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11035</v>
      </c>
      <c r="C825" s="21" t="s">
        <v>11036</v>
      </c>
      <c r="D825" s="21" t="s">
        <v>11037</v>
      </c>
      <c r="E825" s="21" t="s">
        <v>11038</v>
      </c>
      <c r="F825" s="21" t="s">
        <v>98</v>
      </c>
      <c r="G825" s="21" t="s">
        <v>178</v>
      </c>
      <c r="H825" s="21" t="str">
        <f t="shared" ref="H825:H828" si="30">IF(LEFT(I825,4)="JK13","PULWAMA",IF(LEFT(I825,4)="JK01","SRINAGAR",IF(LEFT(I825,4)="JK04","BUDGAM",IF(LEFT(I825,4)="JK03","ANANTNAG",IF(LEFT(I825,4)="LA01","KARGIL",IF(LEFT(I825,4)="JK05","BARAMULLA",IF(LEFT(I825,4)="26BH","BHARAT",IF(LEFT(I825,4)="25BH","BHARAT",IF(LEFT(I825,4)="JK12","POONCH",IF(LEFT(I825,4)="JK16","GANDERBAL",IF(LEFT(I825,4)="JK18","KULGAM",IF(LEFT(I825,4)="JK22","SHOPIAN",IF(LEFT(I825,4)="JK02","JAMMU",IF(LEFT(I825,4)="JK09","KUPWARA",IF(LEFT(I825,4)="JK15","BANDIPORA",IF(LEFT(I825,4)="JK17","KISHTWAR",IF(LEFT(I825,4)="LA01","KARGIL",IF(LEFT(I825,1)="T","TEMP","NEW"))))))))))))))))))</f>
        <v>PULWAMA</v>
      </c>
      <c r="I825" s="21" t="s">
        <v>11047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11046</v>
      </c>
      <c r="C826" s="21" t="s">
        <v>11044</v>
      </c>
      <c r="D826" s="21" t="s">
        <v>11045</v>
      </c>
      <c r="E826" s="21" t="s">
        <v>11043</v>
      </c>
      <c r="F826" s="21" t="s">
        <v>12</v>
      </c>
      <c r="G826" s="21" t="s">
        <v>197</v>
      </c>
      <c r="H826" s="21" t="str">
        <f t="shared" si="30"/>
        <v>SRINAGAR</v>
      </c>
      <c r="I826" s="21" t="s">
        <v>11048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11059</v>
      </c>
      <c r="C827" s="21" t="s">
        <v>11060</v>
      </c>
      <c r="D827" s="21" t="s">
        <v>11061</v>
      </c>
      <c r="E827" s="21" t="s">
        <v>11062</v>
      </c>
      <c r="F827" s="21" t="s">
        <v>5</v>
      </c>
      <c r="G827" s="21" t="s">
        <v>196</v>
      </c>
      <c r="H827" s="21" t="str">
        <f t="shared" si="30"/>
        <v>BARAMULLA</v>
      </c>
      <c r="I827" s="21" t="s">
        <v>11064</v>
      </c>
      <c r="J827" s="22">
        <v>46173</v>
      </c>
      <c r="K827" s="21">
        <v>7780954780</v>
      </c>
      <c r="L827" s="21" t="s">
        <v>42</v>
      </c>
      <c r="M827" s="23" t="s">
        <v>11116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11073</v>
      </c>
      <c r="C828" s="21" t="s">
        <v>11074</v>
      </c>
      <c r="D828" s="21" t="s">
        <v>11075</v>
      </c>
      <c r="E828" s="21" t="s">
        <v>11076</v>
      </c>
      <c r="F828" s="21" t="s">
        <v>3126</v>
      </c>
      <c r="G828" s="21" t="s">
        <v>197</v>
      </c>
      <c r="H828" s="21" t="str">
        <f t="shared" si="30"/>
        <v>SRINAGAR</v>
      </c>
      <c r="I828" s="21" t="s">
        <v>11078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11081</v>
      </c>
      <c r="C829" s="21" t="s">
        <v>11079</v>
      </c>
      <c r="D829" s="21" t="s">
        <v>11080</v>
      </c>
      <c r="E829" s="21" t="s">
        <v>519</v>
      </c>
      <c r="F829" s="21" t="s">
        <v>98</v>
      </c>
      <c r="G829" s="21" t="s">
        <v>171</v>
      </c>
      <c r="H829" s="21" t="str">
        <f t="shared" ref="H829:H841" si="31">IF(LEFT(I829,4)="JK13","PULWAMA",IF(LEFT(I829,4)="JK01","SRINAGAR",IF(LEFT(I829,4)="JK04","BUDGAM",IF(LEFT(I829,4)="JK03","ANANTNAG",IF(LEFT(I829,4)="LA01","KARGIL",IF(LEFT(I829,4)="JK05","BARAMULLA",IF(LEFT(I829,4)="26BH","BHARAT",IF(LEFT(I829,4)="25BH","BHARAT",IF(LEFT(I829,4)="JK12","POONCH",IF(LEFT(I829,4)="JK16","GANDERBAL",IF(LEFT(I829,4)="JK18","KULGAM",IF(LEFT(I829,4)="JK22","SHOPIAN",IF(LEFT(I829,4)="JK02","JAMMU",IF(LEFT(I829,4)="JK09","KUPWARA",IF(LEFT(I829,4)="JK15","BANDIPORA",IF(LEFT(I829,4)="JK17","KISHTWAR",IF(LEFT(I829,4)="LA01","KARGIL",IF(LEFT(I829,1)="T","TEMP","NEW"))))))))))))))))))</f>
        <v>SRINAGAR</v>
      </c>
      <c r="I829" s="21" t="s">
        <v>11083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11090</v>
      </c>
      <c r="C830" s="21" t="s">
        <v>11086</v>
      </c>
      <c r="D830" s="21" t="s">
        <v>11087</v>
      </c>
      <c r="E830" s="21" t="s">
        <v>11088</v>
      </c>
      <c r="F830" s="21" t="s">
        <v>36</v>
      </c>
      <c r="G830" s="21" t="s">
        <v>197</v>
      </c>
      <c r="H830" s="21" t="str">
        <f t="shared" si="31"/>
        <v>KULGAM</v>
      </c>
      <c r="I830" s="21" t="s">
        <v>11089</v>
      </c>
      <c r="J830" s="22">
        <v>46177</v>
      </c>
      <c r="K830" s="21">
        <v>8899693028</v>
      </c>
      <c r="L830" s="21" t="s">
        <v>26</v>
      </c>
      <c r="M830" s="23" t="s">
        <v>8802</v>
      </c>
      <c r="N830" s="22">
        <v>46185</v>
      </c>
      <c r="O830" s="21" t="s">
        <v>23</v>
      </c>
      <c r="P830" s="24">
        <v>46181</v>
      </c>
      <c r="Q830" s="21" t="s">
        <v>6454</v>
      </c>
      <c r="R830" s="21"/>
    </row>
    <row r="831" spans="1:18" x14ac:dyDescent="0.25">
      <c r="A831" s="21">
        <f t="shared" si="24"/>
        <v>830</v>
      </c>
      <c r="B831" s="21" t="s">
        <v>11091</v>
      </c>
      <c r="C831" s="21" t="s">
        <v>11092</v>
      </c>
      <c r="D831" s="21" t="s">
        <v>11093</v>
      </c>
      <c r="E831" s="21" t="s">
        <v>11094</v>
      </c>
      <c r="F831" s="21" t="s">
        <v>98</v>
      </c>
      <c r="G831" s="21" t="s">
        <v>197</v>
      </c>
      <c r="H831" s="21" t="str">
        <f t="shared" si="31"/>
        <v>BARAMULLA</v>
      </c>
      <c r="I831" s="21" t="s">
        <v>11095</v>
      </c>
      <c r="J831" s="22">
        <v>46178</v>
      </c>
      <c r="K831" s="21">
        <v>9596863815</v>
      </c>
      <c r="L831" s="21" t="s">
        <v>7240</v>
      </c>
      <c r="M831" s="23" t="s">
        <v>7765</v>
      </c>
      <c r="N831" s="22">
        <v>46182</v>
      </c>
      <c r="O831" s="21"/>
      <c r="P831" s="24"/>
      <c r="Q831" s="21"/>
      <c r="R831" s="21"/>
    </row>
    <row r="832" spans="1:18" x14ac:dyDescent="0.25">
      <c r="A832" s="21">
        <f t="shared" si="24"/>
        <v>831</v>
      </c>
      <c r="B832" s="21" t="s">
        <v>11096</v>
      </c>
      <c r="C832" s="21" t="s">
        <v>11097</v>
      </c>
      <c r="D832" s="21" t="s">
        <v>11098</v>
      </c>
      <c r="E832" s="21" t="s">
        <v>11099</v>
      </c>
      <c r="F832" s="21" t="s">
        <v>98</v>
      </c>
      <c r="G832" s="21" t="s">
        <v>178</v>
      </c>
      <c r="H832" s="21" t="str">
        <f t="shared" si="31"/>
        <v>PULWAMA</v>
      </c>
      <c r="I832" s="21" t="s">
        <v>11100</v>
      </c>
      <c r="J832" s="22">
        <v>46178</v>
      </c>
      <c r="K832" s="21">
        <v>7889385480</v>
      </c>
      <c r="L832" s="21" t="s">
        <v>6446</v>
      </c>
      <c r="M832" s="23"/>
      <c r="N832" s="22"/>
      <c r="O832" s="21"/>
      <c r="P832" s="24"/>
      <c r="Q832" s="21"/>
      <c r="R832" s="21"/>
    </row>
    <row r="833" spans="1:18" x14ac:dyDescent="0.25">
      <c r="A833" s="21">
        <f t="shared" ref="A833:A869" si="32">ROW()-1</f>
        <v>832</v>
      </c>
      <c r="B833" s="21" t="s">
        <v>11105</v>
      </c>
      <c r="C833" s="21" t="s">
        <v>11104</v>
      </c>
      <c r="D833" s="21" t="s">
        <v>11114</v>
      </c>
      <c r="E833" s="21" t="s">
        <v>11101</v>
      </c>
      <c r="F833" s="21" t="s">
        <v>10452</v>
      </c>
      <c r="G833" s="21" t="s">
        <v>197</v>
      </c>
      <c r="H833" s="21" t="str">
        <f t="shared" si="31"/>
        <v>SRINAGAR</v>
      </c>
      <c r="I833" s="21" t="s">
        <v>11111</v>
      </c>
      <c r="J833" s="22">
        <v>46178</v>
      </c>
      <c r="K833" s="21">
        <v>9622566678</v>
      </c>
      <c r="L833" s="21" t="s">
        <v>163</v>
      </c>
      <c r="M833" s="23"/>
      <c r="N833" s="22"/>
      <c r="O833" s="21" t="s">
        <v>23</v>
      </c>
      <c r="P833" s="24">
        <v>46179</v>
      </c>
      <c r="Q833" s="21" t="s">
        <v>6454</v>
      </c>
      <c r="R833" s="21"/>
    </row>
    <row r="834" spans="1:18" x14ac:dyDescent="0.25">
      <c r="A834" s="21">
        <f t="shared" si="32"/>
        <v>833</v>
      </c>
      <c r="B834" s="21" t="s">
        <v>11106</v>
      </c>
      <c r="C834" s="21" t="s">
        <v>11107</v>
      </c>
      <c r="D834" s="21" t="s">
        <v>11113</v>
      </c>
      <c r="E834" s="21" t="s">
        <v>11102</v>
      </c>
      <c r="F834" s="21" t="s">
        <v>98</v>
      </c>
      <c r="G834" s="21" t="s">
        <v>178</v>
      </c>
      <c r="H834" s="21" t="str">
        <f t="shared" si="31"/>
        <v>PULWAMA</v>
      </c>
      <c r="I834" s="21" t="s">
        <v>11112</v>
      </c>
      <c r="J834" s="22">
        <v>46177</v>
      </c>
      <c r="K834" s="21">
        <v>9622785141</v>
      </c>
      <c r="L834" s="21" t="s">
        <v>6515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32"/>
        <v>834</v>
      </c>
      <c r="B835" s="21" t="s">
        <v>11108</v>
      </c>
      <c r="C835" s="21" t="s">
        <v>11109</v>
      </c>
      <c r="D835" s="21" t="s">
        <v>11115</v>
      </c>
      <c r="E835" s="21" t="s">
        <v>11103</v>
      </c>
      <c r="F835" s="21" t="s">
        <v>277</v>
      </c>
      <c r="G835" s="21" t="s">
        <v>196</v>
      </c>
      <c r="H835" s="21" t="str">
        <f t="shared" si="31"/>
        <v>SRINAGAR</v>
      </c>
      <c r="I835" s="21" t="s">
        <v>11110</v>
      </c>
      <c r="J835" s="22">
        <v>46177</v>
      </c>
      <c r="K835" s="21">
        <v>9596300301</v>
      </c>
      <c r="L835" s="21" t="s">
        <v>18</v>
      </c>
      <c r="M835" s="23" t="s">
        <v>7604</v>
      </c>
      <c r="N835" s="22">
        <v>46183</v>
      </c>
      <c r="O835" s="21" t="s">
        <v>23</v>
      </c>
      <c r="P835" s="24">
        <v>46181</v>
      </c>
      <c r="Q835" s="21" t="s">
        <v>6454</v>
      </c>
      <c r="R835" s="21"/>
    </row>
    <row r="836" spans="1:18" x14ac:dyDescent="0.25">
      <c r="A836" s="21">
        <f t="shared" si="32"/>
        <v>835</v>
      </c>
      <c r="B836" s="21" t="s">
        <v>11122</v>
      </c>
      <c r="C836" s="21" t="s">
        <v>11123</v>
      </c>
      <c r="D836" s="21" t="s">
        <v>11124</v>
      </c>
      <c r="E836" s="21" t="s">
        <v>11125</v>
      </c>
      <c r="F836" s="21" t="s">
        <v>3126</v>
      </c>
      <c r="G836" s="21" t="s">
        <v>197</v>
      </c>
      <c r="H836" s="21" t="str">
        <f t="shared" si="31"/>
        <v>TEMP</v>
      </c>
      <c r="I836" s="21" t="s">
        <v>11127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32"/>
        <v>836</v>
      </c>
      <c r="B837" s="21" t="s">
        <v>11132</v>
      </c>
      <c r="C837" s="21" t="s">
        <v>11129</v>
      </c>
      <c r="D837" s="21" t="s">
        <v>11130</v>
      </c>
      <c r="E837" s="21" t="s">
        <v>11131</v>
      </c>
      <c r="F837" s="21" t="s">
        <v>5</v>
      </c>
      <c r="G837" s="21" t="s">
        <v>197</v>
      </c>
      <c r="H837" s="21" t="str">
        <f t="shared" si="31"/>
        <v>PULWAMA</v>
      </c>
      <c r="I837" s="21" t="s">
        <v>11134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4"/>
        <v>837</v>
      </c>
      <c r="B838" s="21" t="s">
        <v>10839</v>
      </c>
      <c r="C838" s="21" t="s">
        <v>10836</v>
      </c>
      <c r="D838" s="21" t="s">
        <v>10837</v>
      </c>
      <c r="E838" s="21" t="s">
        <v>10838</v>
      </c>
      <c r="F838" s="21" t="s">
        <v>277</v>
      </c>
      <c r="G838" s="21" t="s">
        <v>178</v>
      </c>
      <c r="H838" s="21" t="str">
        <f>IF(LEFT(I838,4)="JK13","PULWAMA",IF(LEFT(I838,4)="JK01","SRINAGAR",IF(LEFT(I838,4)="JK04","BUDGAM",IF(LEFT(I838,4)="JK03","ANANTNAG",IF(LEFT(I838,4)="LA01","KARGIL",IF(LEFT(I838,4)="JK05","BARAMULLA",IF(LEFT(I838,4)="26BH","BHARAT",IF(LEFT(I838,4)="25BH","BHARAT",IF(LEFT(I838,4)="JK12","POONCH",IF(LEFT(I838,4)="JK16","GANDERBAL",IF(LEFT(I838,4)="JK18","KULGAM",IF(LEFT(I838,4)="JK22","SHOPIAN",IF(LEFT(I838,4)="JK02","JAMMU",IF(LEFT(I838,4)="JK09","KUPWARA",IF(LEFT(I838,4)="JK15","BANDIPORA",IF(LEFT(I838,4)="JK17","KISHTWAR",IF(LEFT(I838,4)="LA01","KARGIL",IF(LEFT(I838,1)="T","TEMP","NEW"))))))))))))))))))</f>
        <v>BHARAT</v>
      </c>
      <c r="I838" s="21" t="s">
        <v>11133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32"/>
        <v>838</v>
      </c>
      <c r="B839" s="21" t="s">
        <v>11141</v>
      </c>
      <c r="C839" s="21" t="s">
        <v>11138</v>
      </c>
      <c r="D839" s="21" t="s">
        <v>11139</v>
      </c>
      <c r="E839" s="21" t="s">
        <v>11140</v>
      </c>
      <c r="F839" s="21" t="s">
        <v>98</v>
      </c>
      <c r="G839" s="21" t="s">
        <v>178</v>
      </c>
      <c r="H839" s="21" t="str">
        <f t="shared" si="31"/>
        <v>SRINAGAR</v>
      </c>
      <c r="I839" s="21" t="s">
        <v>11142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32"/>
        <v>839</v>
      </c>
      <c r="B840" s="21" t="s">
        <v>11143</v>
      </c>
      <c r="C840" s="21" t="s">
        <v>11144</v>
      </c>
      <c r="D840" s="21" t="s">
        <v>11145</v>
      </c>
      <c r="E840" s="21" t="s">
        <v>11146</v>
      </c>
      <c r="F840" s="21" t="s">
        <v>100</v>
      </c>
      <c r="G840" s="21" t="s">
        <v>197</v>
      </c>
      <c r="H840" s="21" t="str">
        <f t="shared" si="31"/>
        <v>SRINAGAR</v>
      </c>
      <c r="I840" s="21" t="s">
        <v>11161</v>
      </c>
      <c r="J840" s="22">
        <v>46182</v>
      </c>
      <c r="K840" s="21">
        <v>7006213927</v>
      </c>
      <c r="L840" s="21" t="s">
        <v>26</v>
      </c>
      <c r="M840" s="23" t="s">
        <v>7606</v>
      </c>
      <c r="N840" s="22">
        <v>46186</v>
      </c>
      <c r="O840" s="21" t="s">
        <v>23</v>
      </c>
      <c r="P840" s="24">
        <v>46183</v>
      </c>
      <c r="Q840" s="21" t="s">
        <v>6454</v>
      </c>
      <c r="R840" s="21"/>
    </row>
    <row r="841" spans="1:18" x14ac:dyDescent="0.25">
      <c r="A841" s="21">
        <f t="shared" si="32"/>
        <v>840</v>
      </c>
      <c r="B841" s="21" t="s">
        <v>11147</v>
      </c>
      <c r="C841" s="21" t="s">
        <v>11148</v>
      </c>
      <c r="D841" s="21" t="s">
        <v>11149</v>
      </c>
      <c r="E841" s="21" t="s">
        <v>11150</v>
      </c>
      <c r="F841" s="21" t="s">
        <v>65</v>
      </c>
      <c r="G841" s="21" t="s">
        <v>223</v>
      </c>
      <c r="H841" s="21" t="str">
        <f t="shared" si="31"/>
        <v>KUPWARA</v>
      </c>
      <c r="I841" s="21" t="s">
        <v>11159</v>
      </c>
      <c r="J841" s="22">
        <v>46182</v>
      </c>
      <c r="K841" s="21">
        <v>9797763096</v>
      </c>
      <c r="L841" s="21" t="s">
        <v>8857</v>
      </c>
      <c r="M841" s="23"/>
      <c r="N841" s="22"/>
      <c r="O841" s="21"/>
      <c r="P841" s="24"/>
      <c r="Q841" s="21"/>
      <c r="R841" s="21"/>
    </row>
    <row r="842" spans="1:18" x14ac:dyDescent="0.25">
      <c r="A842" s="21">
        <f t="shared" si="32"/>
        <v>841</v>
      </c>
      <c r="B842" s="21" t="s">
        <v>11151</v>
      </c>
      <c r="C842" s="21" t="s">
        <v>11152</v>
      </c>
      <c r="D842" s="21" t="s">
        <v>11153</v>
      </c>
      <c r="E842" s="21" t="s">
        <v>11154</v>
      </c>
      <c r="F842" s="21" t="s">
        <v>98</v>
      </c>
      <c r="G842" s="21" t="s">
        <v>197</v>
      </c>
      <c r="H842" s="21" t="str">
        <f t="shared" ref="H842:H846" si="33">IF(LEFT(I842,4)="JK13","PULWAMA",IF(LEFT(I842,4)="JK01","SRINAGAR",IF(LEFT(I842,4)="JK04","BUDGAM",IF(LEFT(I842,4)="JK03","ANANTNAG",IF(LEFT(I842,4)="LA01","KARGIL",IF(LEFT(I842,4)="JK05","BARAMULLA",IF(LEFT(I842,4)="26BH","BHARAT",IF(LEFT(I842,4)="25BH","BHARAT",IF(LEFT(I842,4)="JK12","POONCH",IF(LEFT(I842,4)="JK16","GANDERBAL",IF(LEFT(I842,4)="JK18","KULGAM",IF(LEFT(I842,4)="JK22","SHOPIAN",IF(LEFT(I842,4)="JK02","JAMMU",IF(LEFT(I842,4)="JK09","KUPWARA",IF(LEFT(I842,4)="JK15","BANDIPORA",IF(LEFT(I842,4)="JK17","KISHTWAR",IF(LEFT(I842,4)="LA01","KARGIL",IF(LEFT(I842,1)="T","TEMP","NEW"))))))))))))))))))</f>
        <v>PULWAMA</v>
      </c>
      <c r="I842" s="21" t="s">
        <v>11160</v>
      </c>
      <c r="J842" s="22">
        <v>46182</v>
      </c>
      <c r="K842" s="21">
        <v>9149490632</v>
      </c>
      <c r="L842" s="21" t="s">
        <v>6515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32"/>
        <v>842</v>
      </c>
      <c r="B843" s="21" t="s">
        <v>11165</v>
      </c>
      <c r="C843" s="21" t="s">
        <v>11155</v>
      </c>
      <c r="D843" s="21" t="s">
        <v>11156</v>
      </c>
      <c r="E843" s="21" t="s">
        <v>11157</v>
      </c>
      <c r="F843" s="21" t="s">
        <v>12</v>
      </c>
      <c r="G843" s="21" t="s">
        <v>197</v>
      </c>
      <c r="H843" s="21" t="str">
        <f t="shared" si="33"/>
        <v>KULGAM</v>
      </c>
      <c r="I843" s="21" t="s">
        <v>11158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32"/>
        <v>843</v>
      </c>
      <c r="B844" s="21" t="s">
        <v>11164</v>
      </c>
      <c r="C844" s="21" t="s">
        <v>11162</v>
      </c>
      <c r="D844" s="21" t="s">
        <v>11166</v>
      </c>
      <c r="E844" s="21" t="s">
        <v>10077</v>
      </c>
      <c r="F844" s="21" t="s">
        <v>12</v>
      </c>
      <c r="G844" s="21" t="s">
        <v>178</v>
      </c>
      <c r="H844" s="21" t="str">
        <f t="shared" si="33"/>
        <v>PULWAMA</v>
      </c>
      <c r="I844" s="21" t="s">
        <v>11163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32"/>
        <v>844</v>
      </c>
      <c r="B845" s="21" t="s">
        <v>11174</v>
      </c>
      <c r="C845" s="21" t="s">
        <v>11175</v>
      </c>
      <c r="D845" s="21" t="s">
        <v>11176</v>
      </c>
      <c r="E845" s="21" t="s">
        <v>11177</v>
      </c>
      <c r="F845" s="21" t="s">
        <v>12</v>
      </c>
      <c r="G845" s="21" t="s">
        <v>171</v>
      </c>
      <c r="H845" s="21" t="str">
        <f t="shared" si="33"/>
        <v>PULWAMA</v>
      </c>
      <c r="I845" s="21" t="s">
        <v>11182</v>
      </c>
      <c r="J845" s="22">
        <v>46183</v>
      </c>
      <c r="K845" s="21">
        <v>7889402189</v>
      </c>
      <c r="L845" s="21" t="s">
        <v>6515</v>
      </c>
      <c r="M845" s="23"/>
      <c r="N845" s="22"/>
      <c r="O845" s="21"/>
      <c r="P845" s="24"/>
      <c r="Q845" s="21"/>
      <c r="R845" s="21"/>
    </row>
    <row r="846" spans="1:18" x14ac:dyDescent="0.25">
      <c r="A846" s="21">
        <f t="shared" si="32"/>
        <v>845</v>
      </c>
      <c r="B846" s="21" t="s">
        <v>11178</v>
      </c>
      <c r="C846" s="21" t="s">
        <v>11179</v>
      </c>
      <c r="D846" s="21" t="s">
        <v>11180</v>
      </c>
      <c r="E846" s="21" t="s">
        <v>11181</v>
      </c>
      <c r="F846" s="21" t="s">
        <v>36</v>
      </c>
      <c r="G846" s="21" t="s">
        <v>197</v>
      </c>
      <c r="H846" s="21" t="str">
        <f t="shared" si="33"/>
        <v>SRINAGAR</v>
      </c>
      <c r="I846" s="21" t="s">
        <v>11183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32"/>
        <v>846</v>
      </c>
      <c r="B847" s="21" t="s">
        <v>11189</v>
      </c>
      <c r="C847" s="21" t="s">
        <v>11186</v>
      </c>
      <c r="D847" s="21" t="s">
        <v>11187</v>
      </c>
      <c r="E847" s="21" t="s">
        <v>11188</v>
      </c>
      <c r="F847" s="21" t="s">
        <v>5</v>
      </c>
      <c r="G847" s="21" t="s">
        <v>196</v>
      </c>
      <c r="H847" s="21" t="str">
        <f t="shared" ref="H847:H851" si="34">IF(LEFT(I847,4)="JK13","PULWAMA",IF(LEFT(I847,4)="JK01","SRINAGAR",IF(LEFT(I847,4)="JK04","BUDGAM",IF(LEFT(I847,4)="JK03","ANANTNAG",IF(LEFT(I847,4)="LA01","KARGIL",IF(LEFT(I847,4)="JK05","BARAMULLA",IF(LEFT(I847,4)="26BH","BHARAT",IF(LEFT(I847,4)="25BH","BHARAT",IF(LEFT(I847,4)="JK12","POONCH",IF(LEFT(I847,4)="JK16","GANDERBAL",IF(LEFT(I847,4)="JK18","KULGAM",IF(LEFT(I847,4)="JK22","SHOPIAN",IF(LEFT(I847,4)="JK02","JAMMU",IF(LEFT(I847,4)="JK09","KUPWARA",IF(LEFT(I847,4)="JK15","BANDIPORA",IF(LEFT(I847,4)="JK17","KISHTWAR",IF(LEFT(I847,4)="LA01","KARGIL",IF(LEFT(I847,1)="T","TEMP","NEW"))))))))))))))))))</f>
        <v>SRINAGAR</v>
      </c>
      <c r="I847" s="21" t="s">
        <v>11195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32"/>
        <v>847</v>
      </c>
      <c r="B848" s="21" t="s">
        <v>11194</v>
      </c>
      <c r="C848" s="21" t="s">
        <v>11190</v>
      </c>
      <c r="D848" s="21" t="s">
        <v>11191</v>
      </c>
      <c r="E848" s="21" t="s">
        <v>11192</v>
      </c>
      <c r="F848" s="21" t="s">
        <v>98</v>
      </c>
      <c r="G848" s="21" t="s">
        <v>171</v>
      </c>
      <c r="H848" s="21" t="str">
        <f t="shared" si="34"/>
        <v>BARAMULLA</v>
      </c>
      <c r="I848" s="21" t="s">
        <v>11196</v>
      </c>
      <c r="J848" s="22">
        <v>46184</v>
      </c>
      <c r="K848" s="21">
        <v>9149465922</v>
      </c>
      <c r="L848" s="21" t="s">
        <v>11193</v>
      </c>
      <c r="M848" s="23" t="s">
        <v>11319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32"/>
        <v>848</v>
      </c>
      <c r="B849" s="21" t="s">
        <v>11206</v>
      </c>
      <c r="C849" s="21" t="s">
        <v>11202</v>
      </c>
      <c r="D849" s="21" t="s">
        <v>11203</v>
      </c>
      <c r="E849" s="21" t="s">
        <v>11204</v>
      </c>
      <c r="F849" s="21" t="s">
        <v>12</v>
      </c>
      <c r="G849" s="21" t="s">
        <v>197</v>
      </c>
      <c r="H849" s="21" t="str">
        <f>IF(LEFT(I849,4)="JK13","PULWAMA",IF(LEFT(I849,4)="JK01","SRINAGAR",IF(LEFT(I849,4)="JK04","BUDGAM",IF(LEFT(I849,4)="JK03","ANANTNAG",IF(LEFT(I849,4)="LA01","KARGIL",IF(LEFT(I849,4)="JK05","BARAMULLA",IF(LEFT(I849,4)="26BH","BHARAT",IF(LEFT(I849,4)="25BH","BHARAT",IF(LEFT(I849,4)="JK12","POONCH",IF(LEFT(I849,4)="JK16","GANDERBAL",IF(LEFT(I849,4)="JK18","KULGAM",IF(LEFT(I849,4)="JK22","SHOPIAN",IF(LEFT(I849,4)="JK02","JAMMU",IF(LEFT(I849,4)="JK09","KUPWARA",IF(LEFT(I849,4)="JK15","BANDIPORA",IF(LEFT(I849,4)="JK17","KISHTWAR",IF(LEFT(I849,4)="LA01","KARGIL",IF(LEFT(I849,1)="T","TEMP","NEW"))))))))))))))))))</f>
        <v>SHOPIAN</v>
      </c>
      <c r="I849" s="21" t="s">
        <v>11201</v>
      </c>
      <c r="J849" s="22">
        <v>46184</v>
      </c>
      <c r="K849" s="21">
        <v>7889410052</v>
      </c>
      <c r="L849" s="21" t="s">
        <v>11205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32"/>
        <v>849</v>
      </c>
      <c r="B850" s="21" t="s">
        <v>11216</v>
      </c>
      <c r="C850" s="21" t="s">
        <v>11212</v>
      </c>
      <c r="D850" s="21" t="s">
        <v>11213</v>
      </c>
      <c r="E850" s="21" t="s">
        <v>11214</v>
      </c>
      <c r="F850" s="21" t="s">
        <v>5</v>
      </c>
      <c r="G850" s="21" t="s">
        <v>196</v>
      </c>
      <c r="H850" s="21" t="str">
        <f>IF(LEFT(I850,4)="JK13","PULWAMA",IF(LEFT(I850,4)="JK01","SRINAGAR",IF(LEFT(I850,4)="JK04","BUDGAM",IF(LEFT(I850,4)="JK03","ANANTNAG",IF(LEFT(I850,4)="LA01","KARGIL",IF(LEFT(I850,4)="JK05","BARAMULLA",IF(LEFT(I850,4)="26BH","BHARAT",IF(LEFT(I850,4)="25BH","BHARAT",IF(LEFT(I850,4)="JK12","POONCH",IF(LEFT(I850,4)="JK16","GANDERBAL",IF(LEFT(I850,4)="JK18","KULGAM",IF(LEFT(I850,4)="JK22","SHOPIAN",IF(LEFT(I850,4)="JK02","JAMMU",IF(LEFT(I850,4)="JK09","KUPWARA",IF(LEFT(I850,4)="JK15","BANDIPORA",IF(LEFT(I850,4)="JK17","KISHTWAR",IF(LEFT(I850,4)="LA01","KARGIL",IF(LEFT(I850,1)="T","TEMP","NEW"))))))))))))))))))</f>
        <v>BUDGAM</v>
      </c>
      <c r="I850" s="21" t="s">
        <v>11221</v>
      </c>
      <c r="J850" s="22">
        <v>46184</v>
      </c>
      <c r="K850" s="21">
        <v>7006462336</v>
      </c>
      <c r="L850" s="21" t="s">
        <v>11215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32"/>
        <v>850</v>
      </c>
      <c r="B851" s="21" t="s">
        <v>11200</v>
      </c>
      <c r="C851" s="21" t="s">
        <v>11198</v>
      </c>
      <c r="D851" s="21" t="s">
        <v>11199</v>
      </c>
      <c r="E851" s="21" t="s">
        <v>11197</v>
      </c>
      <c r="F851" s="21" t="s">
        <v>12</v>
      </c>
      <c r="G851" s="21" t="s">
        <v>178</v>
      </c>
      <c r="H851" s="21" t="str">
        <f t="shared" si="34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32"/>
        <v>851</v>
      </c>
      <c r="B852" s="21" t="s">
        <v>11220</v>
      </c>
      <c r="C852" s="21" t="s">
        <v>11217</v>
      </c>
      <c r="D852" s="21" t="s">
        <v>11218</v>
      </c>
      <c r="E852" s="21" t="s">
        <v>11219</v>
      </c>
      <c r="F852" s="21" t="s">
        <v>98</v>
      </c>
      <c r="G852" s="21" t="s">
        <v>197</v>
      </c>
      <c r="H852" s="21" t="str">
        <f t="shared" ref="H852:H854" si="35">IF(LEFT(I852,4)="JK13","PULWAMA",IF(LEFT(I852,4)="JK01","SRINAGAR",IF(LEFT(I852,4)="JK04","BUDGAM",IF(LEFT(I852,4)="JK03","ANANTNAG",IF(LEFT(I852,4)="LA01","KARGIL",IF(LEFT(I852,4)="JK05","BARAMULLA",IF(LEFT(I852,4)="26BH","BHARAT",IF(LEFT(I852,4)="25BH","BHARAT",IF(LEFT(I852,4)="JK12","POONCH",IF(LEFT(I852,4)="JK16","GANDERBAL",IF(LEFT(I852,4)="JK18","KULGAM",IF(LEFT(I852,4)="JK22","SHOPIAN",IF(LEFT(I852,4)="JK02","JAMMU",IF(LEFT(I852,4)="JK09","KUPWARA",IF(LEFT(I852,4)="JK15","BANDIPORA",IF(LEFT(I852,4)="JK17","KISHTWAR",IF(LEFT(I852,4)="LA01","KARGIL",IF(LEFT(I852,1)="T","TEMP","NEW"))))))))))))))))))</f>
        <v>SRINAGAR</v>
      </c>
      <c r="I852" s="21" t="s">
        <v>11236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32"/>
        <v>852</v>
      </c>
      <c r="B853" s="21" t="s">
        <v>11222</v>
      </c>
      <c r="C853" s="21" t="s">
        <v>11223</v>
      </c>
      <c r="D853" s="21" t="s">
        <v>11224</v>
      </c>
      <c r="E853" s="21" t="s">
        <v>11225</v>
      </c>
      <c r="F853" s="21" t="s">
        <v>12</v>
      </c>
      <c r="G853" s="21" t="s">
        <v>197</v>
      </c>
      <c r="H853" s="21" t="str">
        <f t="shared" si="35"/>
        <v>BARAMULLA</v>
      </c>
      <c r="I853" s="21" t="s">
        <v>11237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32"/>
        <v>853</v>
      </c>
      <c r="B854" s="21" t="s">
        <v>11230</v>
      </c>
      <c r="C854" s="21" t="s">
        <v>11226</v>
      </c>
      <c r="D854" s="21" t="s">
        <v>11227</v>
      </c>
      <c r="E854" s="21" t="s">
        <v>11228</v>
      </c>
      <c r="F854" s="21" t="s">
        <v>11229</v>
      </c>
      <c r="G854" s="21" t="s">
        <v>196</v>
      </c>
      <c r="H854" s="21" t="str">
        <f t="shared" si="35"/>
        <v>SRINAGAR</v>
      </c>
      <c r="I854" s="21" t="s">
        <v>11235</v>
      </c>
      <c r="J854" s="22">
        <v>46185</v>
      </c>
      <c r="K854" s="21">
        <v>9419009819</v>
      </c>
      <c r="L854" s="21" t="s">
        <v>18</v>
      </c>
      <c r="M854" s="23"/>
      <c r="N854" s="22"/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32"/>
        <v>854</v>
      </c>
      <c r="B855" s="21" t="s">
        <v>11231</v>
      </c>
      <c r="C855" s="21" t="s">
        <v>11232</v>
      </c>
      <c r="D855" s="21" t="s">
        <v>11233</v>
      </c>
      <c r="E855" s="21" t="s">
        <v>11234</v>
      </c>
      <c r="F855" s="21" t="s">
        <v>98</v>
      </c>
      <c r="G855" s="21" t="s">
        <v>197</v>
      </c>
      <c r="H855" s="21" t="str">
        <f t="shared" ref="H855:H860" si="36">IF(LEFT(I855,4)="JK13","PULWAMA",IF(LEFT(I855,4)="JK01","SRINAGAR",IF(LEFT(I855,4)="JK04","BUDGAM",IF(LEFT(I855,4)="JK03","ANANTNAG",IF(LEFT(I855,4)="LA01","KARGIL",IF(LEFT(I855,4)="JK05","BARAMULLA",IF(LEFT(I855,4)="26BH","BHARAT",IF(LEFT(I855,4)="25BH","BHARAT",IF(LEFT(I855,4)="JK12","POONCH",IF(LEFT(I855,4)="JK16","GANDERBAL",IF(LEFT(I855,4)="JK18","KULGAM",IF(LEFT(I855,4)="JK22","SHOPIAN",IF(LEFT(I855,4)="JK02","JAMMU",IF(LEFT(I855,4)="JK09","KUPWARA",IF(LEFT(I855,4)="JK15","BANDIPORA",IF(LEFT(I855,4)="JK17","KISHTWAR",IF(LEFT(I855,4)="LA01","KARGIL",IF(LEFT(I855,1)="T","TEMP","NEW"))))))))))))))))))</f>
        <v>SRINAGAR</v>
      </c>
      <c r="I855" s="21" t="s">
        <v>11238</v>
      </c>
      <c r="J855" s="22">
        <v>46185</v>
      </c>
      <c r="K855" s="21">
        <v>7006783199</v>
      </c>
      <c r="L855" s="21" t="s">
        <v>10242</v>
      </c>
      <c r="M855" s="23" t="s">
        <v>11169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32"/>
        <v>855</v>
      </c>
      <c r="B856" s="21" t="s">
        <v>11239</v>
      </c>
      <c r="C856" s="21" t="s">
        <v>11240</v>
      </c>
      <c r="D856" s="21" t="s">
        <v>11241</v>
      </c>
      <c r="E856" s="21" t="s">
        <v>11242</v>
      </c>
      <c r="F856" s="21" t="s">
        <v>12</v>
      </c>
      <c r="G856" s="21" t="s">
        <v>178</v>
      </c>
      <c r="H856" s="21" t="str">
        <f t="shared" si="36"/>
        <v>SRINAGAR</v>
      </c>
      <c r="I856" s="21" t="s">
        <v>11247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32"/>
        <v>856</v>
      </c>
      <c r="B857" s="21" t="s">
        <v>11243</v>
      </c>
      <c r="C857" s="21" t="s">
        <v>11244</v>
      </c>
      <c r="D857" s="21" t="s">
        <v>11245</v>
      </c>
      <c r="E857" s="21" t="s">
        <v>11246</v>
      </c>
      <c r="F857" s="21" t="s">
        <v>5</v>
      </c>
      <c r="G857" s="21" t="s">
        <v>197</v>
      </c>
      <c r="H857" s="21" t="str">
        <f t="shared" si="36"/>
        <v>SHOPIAN</v>
      </c>
      <c r="I857" s="21" t="s">
        <v>11248</v>
      </c>
      <c r="J857" s="22">
        <v>46185</v>
      </c>
      <c r="K857" s="21">
        <v>9906265335</v>
      </c>
      <c r="L857" s="21" t="s">
        <v>6534</v>
      </c>
      <c r="M857" s="23"/>
      <c r="N857" s="22"/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32"/>
        <v>857</v>
      </c>
      <c r="B858" s="21" t="s">
        <v>11259</v>
      </c>
      <c r="C858" s="21" t="s">
        <v>11257</v>
      </c>
      <c r="D858" s="21" t="s">
        <v>11258</v>
      </c>
      <c r="E858" s="21" t="s">
        <v>3436</v>
      </c>
      <c r="F858" s="21" t="s">
        <v>65</v>
      </c>
      <c r="G858" s="21" t="s">
        <v>196</v>
      </c>
      <c r="H858" s="21" t="str">
        <f t="shared" si="36"/>
        <v>SRINAGAR</v>
      </c>
      <c r="I858" s="21" t="s">
        <v>11272</v>
      </c>
      <c r="J858" s="22">
        <v>46186</v>
      </c>
      <c r="K858" s="21">
        <v>7006265699</v>
      </c>
      <c r="L858" s="21" t="s">
        <v>1122</v>
      </c>
      <c r="M858" s="23" t="s">
        <v>7690</v>
      </c>
      <c r="N858" s="22">
        <v>46188</v>
      </c>
      <c r="O858" s="21" t="s">
        <v>23</v>
      </c>
      <c r="P858" s="24">
        <v>46186</v>
      </c>
      <c r="Q858" s="21" t="s">
        <v>6454</v>
      </c>
      <c r="R858" s="21"/>
    </row>
    <row r="859" spans="1:18" x14ac:dyDescent="0.25">
      <c r="A859" s="21">
        <f t="shared" si="32"/>
        <v>858</v>
      </c>
      <c r="B859" s="21" t="s">
        <v>11260</v>
      </c>
      <c r="C859" s="21" t="s">
        <v>11261</v>
      </c>
      <c r="D859" s="21" t="s">
        <v>11262</v>
      </c>
      <c r="E859" s="21" t="s">
        <v>11263</v>
      </c>
      <c r="F859" s="21" t="s">
        <v>36</v>
      </c>
      <c r="G859" s="21" t="s">
        <v>196</v>
      </c>
      <c r="H859" s="21" t="str">
        <f t="shared" si="36"/>
        <v>PULWAMA</v>
      </c>
      <c r="I859" s="21" t="s">
        <v>11274</v>
      </c>
      <c r="J859" s="22">
        <v>46186</v>
      </c>
      <c r="K859" s="21">
        <v>7006053981</v>
      </c>
      <c r="L859" s="21" t="s">
        <v>7228</v>
      </c>
      <c r="M859" s="23"/>
      <c r="N859" s="22"/>
      <c r="O859" s="21"/>
      <c r="P859" s="24"/>
      <c r="Q859" s="21"/>
      <c r="R859" s="21"/>
    </row>
    <row r="860" spans="1:18" x14ac:dyDescent="0.25">
      <c r="A860" s="21">
        <f t="shared" si="32"/>
        <v>859</v>
      </c>
      <c r="B860" s="21" t="s">
        <v>11264</v>
      </c>
      <c r="C860" s="21" t="s">
        <v>11265</v>
      </c>
      <c r="D860" s="21" t="s">
        <v>11266</v>
      </c>
      <c r="E860" s="21" t="s">
        <v>11267</v>
      </c>
      <c r="F860" s="21" t="s">
        <v>5</v>
      </c>
      <c r="G860" s="21" t="s">
        <v>197</v>
      </c>
      <c r="H860" s="21" t="str">
        <f t="shared" si="36"/>
        <v>PULWAMA</v>
      </c>
      <c r="I860" s="21" t="s">
        <v>11273</v>
      </c>
      <c r="J860" s="22">
        <v>46186</v>
      </c>
      <c r="K860" s="21">
        <v>7006542138</v>
      </c>
      <c r="L860" s="21" t="s">
        <v>9902</v>
      </c>
      <c r="M860" s="23"/>
      <c r="N860" s="22"/>
      <c r="O860" s="21"/>
      <c r="P860" s="24"/>
      <c r="Q860" s="21"/>
      <c r="R860" s="21"/>
    </row>
    <row r="861" spans="1:18" x14ac:dyDescent="0.25">
      <c r="A861" s="21">
        <f t="shared" si="32"/>
        <v>860</v>
      </c>
      <c r="B861" s="21" t="s">
        <v>11268</v>
      </c>
      <c r="C861" s="21" t="s">
        <v>11269</v>
      </c>
      <c r="D861" s="21" t="s">
        <v>11270</v>
      </c>
      <c r="E861" s="21" t="s">
        <v>11271</v>
      </c>
      <c r="F861" s="21" t="s">
        <v>98</v>
      </c>
      <c r="G861" s="21" t="s">
        <v>178</v>
      </c>
      <c r="H861" s="21" t="str">
        <f t="shared" ref="H861:H866" si="37">IF(LEFT(I861,4)="JK13","PULWAMA",IF(LEFT(I861,4)="JK01","SRINAGAR",IF(LEFT(I861,4)="JK04","BUDGAM",IF(LEFT(I861,4)="JK03","ANANTNAG",IF(LEFT(I861,4)="LA01","KARGIL",IF(LEFT(I861,4)="JK05","BARAMULLA",IF(LEFT(I861,4)="26BH","BHARAT",IF(LEFT(I861,4)="25BH","BHARAT",IF(LEFT(I861,4)="JK12","POONCH",IF(LEFT(I861,4)="JK16","GANDERBAL",IF(LEFT(I861,4)="JK18","KULGAM",IF(LEFT(I861,4)="JK22","SHOPIAN",IF(LEFT(I861,4)="JK02","JAMMU",IF(LEFT(I861,4)="JK09","KUPWARA",IF(LEFT(I861,4)="JK15","BANDIPORA",IF(LEFT(I861,4)="JK17","KISHTWAR",IF(LEFT(I861,4)="LA01","KARGIL",IF(LEFT(I861,1)="T","TEMP","NEW"))))))))))))))))))</f>
        <v>SRINAGAR</v>
      </c>
      <c r="I861" s="21" t="s">
        <v>11280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32"/>
        <v>861</v>
      </c>
      <c r="B862" s="21" t="s">
        <v>11275</v>
      </c>
      <c r="C862" s="21" t="s">
        <v>11276</v>
      </c>
      <c r="D862" s="21" t="s">
        <v>11277</v>
      </c>
      <c r="E862" s="21" t="s">
        <v>11278</v>
      </c>
      <c r="F862" s="21" t="s">
        <v>6540</v>
      </c>
      <c r="G862" s="21" t="s">
        <v>6469</v>
      </c>
      <c r="H862" s="21" t="str">
        <f t="shared" si="37"/>
        <v>SRINAGAR</v>
      </c>
      <c r="I862" s="21" t="s">
        <v>11279</v>
      </c>
      <c r="J862" s="22">
        <v>46186</v>
      </c>
      <c r="K862" s="21">
        <v>7006047465</v>
      </c>
      <c r="L862" s="21" t="s">
        <v>8857</v>
      </c>
      <c r="M862" s="23" t="s">
        <v>11286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32"/>
        <v>862</v>
      </c>
      <c r="B863" s="21" t="s">
        <v>11290</v>
      </c>
      <c r="C863" s="21" t="s">
        <v>11287</v>
      </c>
      <c r="D863" s="21" t="s">
        <v>11288</v>
      </c>
      <c r="E863" s="21" t="s">
        <v>11289</v>
      </c>
      <c r="F863" s="21" t="s">
        <v>7701</v>
      </c>
      <c r="G863" s="21" t="s">
        <v>178</v>
      </c>
      <c r="H863" s="21" t="str">
        <f t="shared" si="37"/>
        <v>SRINAGAR</v>
      </c>
      <c r="I863" s="21" t="s">
        <v>11295</v>
      </c>
      <c r="J863" s="22">
        <v>46188</v>
      </c>
      <c r="K863" s="21">
        <v>7006208490</v>
      </c>
      <c r="L863" s="21" t="s">
        <v>11310</v>
      </c>
      <c r="M863" s="23"/>
      <c r="N863" s="22"/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32"/>
        <v>863</v>
      </c>
      <c r="B864" s="21" t="s">
        <v>11294</v>
      </c>
      <c r="C864" s="21" t="s">
        <v>11291</v>
      </c>
      <c r="D864" s="21" t="s">
        <v>11292</v>
      </c>
      <c r="E864" s="21" t="s">
        <v>11293</v>
      </c>
      <c r="F864" s="21" t="s">
        <v>65</v>
      </c>
      <c r="G864" s="21" t="s">
        <v>197</v>
      </c>
      <c r="H864" s="21" t="str">
        <f t="shared" si="37"/>
        <v>SRINAGAR</v>
      </c>
      <c r="I864" s="21" t="s">
        <v>11296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32"/>
        <v>864</v>
      </c>
      <c r="B865" s="21" t="s">
        <v>11300</v>
      </c>
      <c r="C865" s="21" t="s">
        <v>11297</v>
      </c>
      <c r="D865" s="21" t="s">
        <v>11298</v>
      </c>
      <c r="E865" s="21" t="s">
        <v>11299</v>
      </c>
      <c r="F865" s="21" t="s">
        <v>234</v>
      </c>
      <c r="G865" s="21" t="s">
        <v>197</v>
      </c>
      <c r="H865" s="21" t="str">
        <f t="shared" si="37"/>
        <v>NEW</v>
      </c>
      <c r="I865" s="21" t="s">
        <v>11311</v>
      </c>
      <c r="J865" s="22">
        <v>46188</v>
      </c>
      <c r="K865" s="21">
        <v>9797435217</v>
      </c>
      <c r="L865" s="21" t="s">
        <v>73</v>
      </c>
      <c r="M865" s="23"/>
      <c r="N865" s="22"/>
      <c r="O865" s="21"/>
      <c r="P865" s="24"/>
      <c r="Q865" s="21"/>
      <c r="R865" s="21"/>
    </row>
    <row r="866" spans="1:18" x14ac:dyDescent="0.25">
      <c r="A866" s="21">
        <f t="shared" si="32"/>
        <v>865</v>
      </c>
      <c r="B866" s="21" t="s">
        <v>11309</v>
      </c>
      <c r="C866" s="21" t="s">
        <v>11306</v>
      </c>
      <c r="D866" s="21" t="s">
        <v>11307</v>
      </c>
      <c r="E866" s="21" t="s">
        <v>11308</v>
      </c>
      <c r="F866" s="21" t="s">
        <v>65</v>
      </c>
      <c r="G866" s="21" t="s">
        <v>197</v>
      </c>
      <c r="H866" s="21" t="str">
        <f t="shared" si="37"/>
        <v>BARAMULLA</v>
      </c>
      <c r="I866" s="21" t="s">
        <v>11312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32"/>
        <v>866</v>
      </c>
      <c r="B867" s="21" t="s">
        <v>11313</v>
      </c>
      <c r="C867" s="21" t="s">
        <v>11314</v>
      </c>
      <c r="D867" s="21" t="s">
        <v>11315</v>
      </c>
      <c r="E867" s="21" t="s">
        <v>11316</v>
      </c>
      <c r="F867" s="21" t="s">
        <v>12</v>
      </c>
      <c r="G867" s="21" t="s">
        <v>171</v>
      </c>
      <c r="H867" s="54" t="str">
        <f t="shared" ref="H867:H869" si="38"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PULWAMA</v>
      </c>
      <c r="I867" s="53" t="s">
        <v>11318</v>
      </c>
      <c r="J867" s="55">
        <v>46189</v>
      </c>
      <c r="K867" s="21">
        <v>7051890552</v>
      </c>
      <c r="L867" s="53" t="s">
        <v>11317</v>
      </c>
      <c r="M867" s="57"/>
      <c r="N867" s="55"/>
      <c r="O867" s="53"/>
      <c r="P867" s="58"/>
      <c r="Q867" s="53"/>
      <c r="R867" s="53"/>
    </row>
    <row r="868" spans="1:18" x14ac:dyDescent="0.25">
      <c r="A868" s="21">
        <f t="shared" si="32"/>
        <v>867</v>
      </c>
      <c r="B868" s="53"/>
      <c r="C868" s="53"/>
      <c r="D868" s="53"/>
      <c r="E868" s="53"/>
      <c r="F868" s="53"/>
      <c r="G868" s="53"/>
      <c r="H868" s="54" t="str">
        <f t="shared" si="38"/>
        <v>NEW</v>
      </c>
      <c r="I868" s="53"/>
      <c r="J868" s="55"/>
      <c r="K868" s="21"/>
      <c r="L868" s="53"/>
      <c r="M868" s="57"/>
      <c r="N868" s="55"/>
      <c r="O868" s="53"/>
      <c r="P868" s="58"/>
      <c r="Q868" s="53"/>
      <c r="R868" s="53"/>
    </row>
    <row r="869" spans="1:18" x14ac:dyDescent="0.25">
      <c r="A869" s="21">
        <f t="shared" si="32"/>
        <v>868</v>
      </c>
      <c r="B869" s="53"/>
      <c r="C869" s="53"/>
      <c r="D869" s="53"/>
      <c r="E869" s="53"/>
      <c r="F869" s="53"/>
      <c r="G869" s="53"/>
      <c r="H869" s="54" t="str">
        <f t="shared" si="38"/>
        <v>NEW</v>
      </c>
      <c r="I869" s="53"/>
      <c r="J869" s="55"/>
      <c r="K869" s="56"/>
      <c r="L869" s="53"/>
      <c r="M869" s="57"/>
      <c r="N869" s="55"/>
      <c r="O869" s="53"/>
      <c r="P869" s="58"/>
      <c r="Q869" s="53"/>
      <c r="R869" s="53"/>
    </row>
    <row r="870" spans="1:18" ht="15.75" x14ac:dyDescent="0.25">
      <c r="A870" s="21"/>
      <c r="B870" s="21"/>
      <c r="C870" s="21"/>
      <c r="D870" s="21"/>
      <c r="E870" s="21"/>
      <c r="F870" s="21"/>
      <c r="G870" s="21"/>
      <c r="H870" s="21"/>
      <c r="I870" s="21"/>
      <c r="J870" s="12"/>
      <c r="K870" s="21"/>
      <c r="L870" s="21"/>
      <c r="M870" t="s">
        <v>43</v>
      </c>
    </row>
    <row r="871" spans="1:18" ht="15.75" x14ac:dyDescent="0.25">
      <c r="A871" s="21"/>
      <c r="B871" s="21"/>
      <c r="C871" s="21"/>
      <c r="D871" s="21"/>
      <c r="E871" s="21"/>
      <c r="F871" s="21"/>
      <c r="G871" s="21"/>
      <c r="H871" s="1"/>
      <c r="I871" s="13"/>
      <c r="K871" s="21"/>
      <c r="L871" s="21"/>
    </row>
    <row r="872" spans="1:18" x14ac:dyDescent="0.25">
      <c r="K872" s="21"/>
    </row>
    <row r="873" spans="1:18" x14ac:dyDescent="0.25">
      <c r="K873" s="21"/>
    </row>
    <row r="874" spans="1:18" x14ac:dyDescent="0.25">
      <c r="K874" s="21"/>
    </row>
    <row r="875" spans="1:18" x14ac:dyDescent="0.25">
      <c r="K875" s="21"/>
    </row>
    <row r="876" spans="1:18" x14ac:dyDescent="0.25">
      <c r="K876" s="21"/>
    </row>
    <row r="877" spans="1:18" x14ac:dyDescent="0.25">
      <c r="K877" s="21"/>
    </row>
    <row r="878" spans="1:18" x14ac:dyDescent="0.25">
      <c r="K878" s="21"/>
    </row>
    <row r="879" spans="1:18" x14ac:dyDescent="0.25">
      <c r="K879" s="21"/>
    </row>
    <row r="880" spans="1:18" x14ac:dyDescent="0.25">
      <c r="K880" s="21"/>
    </row>
    <row r="881" spans="11:11" x14ac:dyDescent="0.25">
      <c r="K881" s="21"/>
    </row>
    <row r="882" spans="11:11" x14ac:dyDescent="0.25">
      <c r="K882" s="21"/>
    </row>
    <row r="883" spans="11:11" x14ac:dyDescent="0.25">
      <c r="K883" s="21"/>
    </row>
    <row r="884" spans="11:11" x14ac:dyDescent="0.25">
      <c r="K884" s="21"/>
    </row>
    <row r="885" spans="11:11" x14ac:dyDescent="0.25">
      <c r="K885" s="21"/>
    </row>
    <row r="886" spans="11:11" x14ac:dyDescent="0.25">
      <c r="K886" s="21"/>
    </row>
    <row r="887" spans="11:11" x14ac:dyDescent="0.25">
      <c r="K887" s="21"/>
    </row>
    <row r="888" spans="11:11" x14ac:dyDescent="0.25">
      <c r="K888" s="21"/>
    </row>
    <row r="889" spans="11:11" x14ac:dyDescent="0.25">
      <c r="K889" s="21"/>
    </row>
    <row r="890" spans="11:11" x14ac:dyDescent="0.25">
      <c r="K890" s="21"/>
    </row>
    <row r="891" spans="11:11" x14ac:dyDescent="0.25">
      <c r="K891" s="21"/>
    </row>
    <row r="892" spans="11:11" x14ac:dyDescent="0.25">
      <c r="K892" s="21"/>
    </row>
    <row r="893" spans="11:11" x14ac:dyDescent="0.25">
      <c r="K893" s="21"/>
    </row>
    <row r="894" spans="11:11" x14ac:dyDescent="0.25">
      <c r="K894" s="21"/>
    </row>
    <row r="895" spans="11:11" x14ac:dyDescent="0.25">
      <c r="K895" s="21"/>
    </row>
    <row r="896" spans="11:11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ht="15.75" x14ac:dyDescent="0.25">
      <c r="K950" s="12"/>
    </row>
    <row r="951" spans="11:11" ht="15.75" x14ac:dyDescent="0.25">
      <c r="K951" s="12"/>
    </row>
    <row r="952" spans="11:11" ht="15.75" x14ac:dyDescent="0.25">
      <c r="K952" s="12"/>
    </row>
    <row r="953" spans="11:11" ht="15.75" x14ac:dyDescent="0.25">
      <c r="K953" s="12"/>
    </row>
    <row r="954" spans="11:11" ht="15.75" x14ac:dyDescent="0.25">
      <c r="K954" s="12"/>
    </row>
    <row r="955" spans="11:11" ht="15.75" x14ac:dyDescent="0.25">
      <c r="K955" s="12"/>
    </row>
    <row r="956" spans="11:11" ht="15.75" x14ac:dyDescent="0.25">
      <c r="K956" s="12"/>
    </row>
    <row r="957" spans="11:11" ht="15.75" x14ac:dyDescent="0.25">
      <c r="K957" s="12"/>
    </row>
    <row r="958" spans="11:11" ht="15.75" x14ac:dyDescent="0.25">
      <c r="K958" s="12"/>
    </row>
    <row r="959" spans="11:11" ht="15.75" x14ac:dyDescent="0.25">
      <c r="K959" s="12"/>
    </row>
    <row r="960" spans="11:11" ht="15.75" x14ac:dyDescent="0.25">
      <c r="K960" s="12"/>
    </row>
    <row r="961" spans="11:11" ht="15.75" x14ac:dyDescent="0.25">
      <c r="K961" s="12"/>
    </row>
    <row r="962" spans="11:11" ht="15.75" x14ac:dyDescent="0.25">
      <c r="K962" s="12"/>
    </row>
    <row r="963" spans="11:11" ht="15.75" x14ac:dyDescent="0.25">
      <c r="K963" s="12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x14ac:dyDescent="0.25">
      <c r="K999" s="20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ht="15.75" x14ac:dyDescent="0.25">
      <c r="K1013" s="12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5 I765:J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I858:I863 J859:J863 A851:H863 L870:L871 L853:R869 A864:A869 G868:J869 B864:J867">
    <cfRule type="expression" dxfId="16" priority="20">
      <formula>CELL("row")=ROW()</formula>
    </cfRule>
  </conditionalFormatting>
  <conditionalFormatting sqref="B257:G290 B291:B300 C291:G301">
    <cfRule type="expression" dxfId="15" priority="18">
      <formula>CELL("row")=ROW()</formula>
    </cfRule>
  </conditionalFormatting>
  <conditionalFormatting sqref="B772:G772">
    <cfRule type="expression" dxfId="14" priority="1">
      <formula>CELL("row")=ROW()</formula>
    </cfRule>
  </conditionalFormatting>
  <conditionalFormatting sqref="F398">
    <cfRule type="expression" dxfId="13" priority="13">
      <formula>CELL("row")=ROW()</formula>
    </cfRule>
  </conditionalFormatting>
  <conditionalFormatting sqref="F420">
    <cfRule type="expression" dxfId="12" priority="12">
      <formula>CELL("row")=ROW()</formula>
    </cfRule>
  </conditionalFormatting>
  <conditionalFormatting sqref="F326:G326">
    <cfRule type="expression" dxfId="11" priority="15">
      <formula>CELL("row")=ROW()</formula>
    </cfRule>
  </conditionalFormatting>
  <conditionalFormatting sqref="G266">
    <cfRule type="expression" dxfId="10" priority="17">
      <formula>CELL("row")=ROW()</formula>
    </cfRule>
  </conditionalFormatting>
  <conditionalFormatting sqref="I558">
    <cfRule type="expression" dxfId="9" priority="8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51 A713:B713 A714:G726 B720:G751 I724:I734 J726:J727 A727:A738 J728:K729 J730:J733 I734:J734 I735:K745 A739:B739 A740:A751 J746:K747 I746:I749 K747:K751 J748:J749 I750:J751 I752:R757 I758:J758 K758:R761 I758:I764 J759:J764 A766:E766 I766:R772 J773:R773 I774:J774 K774:R776 A870:I870 A871:G871 K870:K949 K852:K868">
    <cfRule type="expression" dxfId="8" priority="6">
      <formula>CELL("row")=ROW()</formula>
    </cfRule>
  </conditionalFormatting>
  <conditionalFormatting sqref="K672:K697 K698:L700 L701">
    <cfRule type="expression" dxfId="7" priority="5">
      <formula>CELL("row")=ROW()</formula>
    </cfRule>
  </conditionalFormatting>
  <conditionalFormatting sqref="L532:L535">
    <cfRule type="expression" dxfId="6" priority="10">
      <formula>CELL("row")=ROW()</formula>
    </cfRule>
  </conditionalFormatting>
  <conditionalFormatting sqref="M870:O871">
    <cfRule type="expression" dxfId="5" priority="29">
      <formula>ROW(O93)=HighlightRow</formula>
    </cfRule>
  </conditionalFormatting>
  <conditionalFormatting sqref="N698">
    <cfRule type="expression" dxfId="4" priority="3">
      <formula>CELL("row")=ROW()</formula>
    </cfRule>
  </conditionalFormatting>
  <conditionalFormatting sqref="P870:Q871">
    <cfRule type="expression" dxfId="3" priority="33">
      <formula>ROW(S93)=HighlightRow</formula>
    </cfRule>
  </conditionalFormatting>
  <conditionalFormatting sqref="S105:XFD105">
    <cfRule type="expression" dxfId="2" priority="34">
      <formula>ROW(T94)=HighlightRow</formula>
    </cfRule>
  </conditionalFormatting>
  <conditionalFormatting sqref="S106:XFD114">
    <cfRule type="expression" dxfId="1" priority="31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A922" zoomScaleNormal="100" workbookViewId="0">
      <selection activeCell="R943" sqref="R94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11126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3"/>
  <sheetViews>
    <sheetView topLeftCell="A548" zoomScaleNormal="100" workbookViewId="0">
      <selection activeCell="E560" sqref="E560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9" t="s">
        <v>6648</v>
      </c>
      <c r="B1" s="49"/>
      <c r="C1" s="49"/>
      <c r="D1" s="49"/>
      <c r="E1" s="49"/>
      <c r="F1" s="49"/>
      <c r="G1" s="49"/>
      <c r="H1" s="49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10783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10804</v>
      </c>
      <c r="C499" s="21">
        <v>9797928475</v>
      </c>
      <c r="D499" s="21" t="s">
        <v>10805</v>
      </c>
      <c r="E499" s="21" t="s">
        <v>10800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10806</v>
      </c>
      <c r="C500" s="21">
        <v>9906598118</v>
      </c>
      <c r="D500" s="21" t="s">
        <v>10807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10790</v>
      </c>
      <c r="C501" s="21">
        <v>7006694541</v>
      </c>
      <c r="D501" s="21" t="s">
        <v>10808</v>
      </c>
      <c r="E501" s="21" t="s">
        <v>10801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10781</v>
      </c>
      <c r="C502" s="21">
        <v>8825010525</v>
      </c>
      <c r="D502" s="21" t="s">
        <v>10809</v>
      </c>
      <c r="E502" s="21" t="s">
        <v>10782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10833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10834</v>
      </c>
      <c r="E504" s="21" t="s">
        <v>10803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10824</v>
      </c>
      <c r="C505" s="21">
        <v>9484057404</v>
      </c>
      <c r="D505" s="21" t="s">
        <v>10835</v>
      </c>
      <c r="E505" s="21" t="s">
        <v>10822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10848</v>
      </c>
      <c r="C506" s="21">
        <v>9796990530</v>
      </c>
      <c r="D506" s="21" t="s">
        <v>10849</v>
      </c>
      <c r="E506" s="21" t="s">
        <v>10933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10812</v>
      </c>
      <c r="C507" s="21">
        <v>6006286690</v>
      </c>
      <c r="D507" s="21" t="s">
        <v>10851</v>
      </c>
      <c r="E507" s="21" t="s">
        <v>10831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10852</v>
      </c>
      <c r="E508" s="21" t="s">
        <v>10830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10828</v>
      </c>
      <c r="C509" s="21">
        <v>7006107410</v>
      </c>
      <c r="D509" s="21" t="s">
        <v>10853</v>
      </c>
      <c r="E509" s="21" t="s">
        <v>10829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10855</v>
      </c>
      <c r="E510" s="21" t="s">
        <v>10765</v>
      </c>
      <c r="F510" s="14">
        <v>46162</v>
      </c>
      <c r="G510" s="14" t="s">
        <v>337</v>
      </c>
      <c r="H510" s="12" t="s">
        <v>10856</v>
      </c>
    </row>
    <row r="511" spans="1:8" ht="15.75" x14ac:dyDescent="0.25">
      <c r="A511" s="12">
        <f t="shared" si="7"/>
        <v>509</v>
      </c>
      <c r="B511" s="21" t="s">
        <v>10873</v>
      </c>
      <c r="C511" s="21">
        <v>6005528953</v>
      </c>
      <c r="D511" s="21" t="s">
        <v>10875</v>
      </c>
      <c r="E511" s="21" t="s">
        <v>10874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10859</v>
      </c>
      <c r="C512" s="21">
        <v>6006180214</v>
      </c>
      <c r="D512" s="21" t="s">
        <v>10876</v>
      </c>
      <c r="E512" s="21" t="s">
        <v>10868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10842</v>
      </c>
      <c r="C513" s="21">
        <v>9419766402</v>
      </c>
      <c r="D513" s="21" t="s">
        <v>10877</v>
      </c>
      <c r="E513" s="21" t="s">
        <v>10866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10907</v>
      </c>
      <c r="C514" s="21">
        <v>7006418329</v>
      </c>
      <c r="D514" s="21" t="s">
        <v>10919</v>
      </c>
      <c r="E514" s="21" t="s">
        <v>10914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10920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10921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10899</v>
      </c>
      <c r="C517" s="21">
        <v>6005323353</v>
      </c>
      <c r="D517" s="21" t="s">
        <v>10922</v>
      </c>
      <c r="E517" s="21" t="s">
        <v>10903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10923</v>
      </c>
      <c r="C518" s="21">
        <v>7006112317</v>
      </c>
      <c r="D518" s="21" t="s">
        <v>10924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3" si="8">ROW()-2</f>
        <v>517</v>
      </c>
      <c r="B519" s="21" t="s">
        <v>10898</v>
      </c>
      <c r="C519" s="21">
        <v>9906564039</v>
      </c>
      <c r="D519" s="21" t="s">
        <v>10930</v>
      </c>
      <c r="E519" s="21" t="s">
        <v>10902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10890</v>
      </c>
      <c r="C520" s="21">
        <v>8825097876</v>
      </c>
      <c r="D520" s="21" t="s">
        <v>10945</v>
      </c>
      <c r="E520" s="21" t="s">
        <v>10918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10889</v>
      </c>
      <c r="C521" s="21">
        <v>9055028530</v>
      </c>
      <c r="D521" s="21" t="s">
        <v>10946</v>
      </c>
      <c r="E521" s="21" t="s">
        <v>10915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10928</v>
      </c>
      <c r="C522" s="21">
        <v>9796979654</v>
      </c>
      <c r="D522" s="21" t="s">
        <v>10947</v>
      </c>
      <c r="E522" s="21" t="s">
        <v>10934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10888</v>
      </c>
      <c r="C523" s="21">
        <v>9103686998</v>
      </c>
      <c r="D523" s="21" t="s">
        <v>10948</v>
      </c>
      <c r="E523" s="21" t="s">
        <v>10916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10891</v>
      </c>
      <c r="C524" s="21">
        <v>9149773196</v>
      </c>
      <c r="D524" s="21" t="s">
        <v>10949</v>
      </c>
      <c r="E524" s="21" t="s">
        <v>10917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10964</v>
      </c>
      <c r="C525" s="21">
        <v>9682167032</v>
      </c>
      <c r="D525" s="21" t="s">
        <v>10975</v>
      </c>
      <c r="E525" s="21" t="s">
        <v>10967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10938</v>
      </c>
      <c r="C526" s="21">
        <v>7006256901</v>
      </c>
      <c r="D526" s="21" t="s">
        <v>10976</v>
      </c>
      <c r="E526" s="21" t="s">
        <v>10944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10960</v>
      </c>
      <c r="C527" s="21">
        <v>7889540230</v>
      </c>
      <c r="D527" s="21" t="s">
        <v>10977</v>
      </c>
      <c r="E527" s="21" t="s">
        <v>10966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10953</v>
      </c>
      <c r="C528" s="21">
        <v>8825062872</v>
      </c>
      <c r="D528" s="21" t="s">
        <v>11049</v>
      </c>
      <c r="E528" s="21" t="s">
        <v>10968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11003</v>
      </c>
      <c r="C529" s="21">
        <v>9596263355</v>
      </c>
      <c r="D529" s="21" t="s">
        <v>11050</v>
      </c>
      <c r="E529" s="21" t="s">
        <v>11010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10999</v>
      </c>
      <c r="C530" s="21">
        <v>9682555158</v>
      </c>
      <c r="D530" s="21" t="s">
        <v>11051</v>
      </c>
      <c r="E530" s="21" t="s">
        <v>11012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10819</v>
      </c>
      <c r="C531" s="21">
        <v>8493839221</v>
      </c>
      <c r="D531" s="21" t="s">
        <v>11052</v>
      </c>
      <c r="E531" s="21" t="s">
        <v>10980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11041</v>
      </c>
      <c r="C532" s="21">
        <v>7006893741</v>
      </c>
      <c r="D532" s="21" t="s">
        <v>11053</v>
      </c>
      <c r="E532" s="21" t="s">
        <v>11042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11025</v>
      </c>
      <c r="C533" s="21">
        <v>8825051434</v>
      </c>
      <c r="D533" s="21" t="s">
        <v>11054</v>
      </c>
      <c r="E533" s="21" t="s">
        <v>11026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11055</v>
      </c>
      <c r="E534" s="21" t="s">
        <v>11028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11056</v>
      </c>
      <c r="C535" s="21">
        <v>7006180324</v>
      </c>
      <c r="D535" s="21" t="s">
        <v>11057</v>
      </c>
      <c r="E535" s="21" t="s">
        <v>11011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11005</v>
      </c>
      <c r="C536" s="21">
        <v>7889461451</v>
      </c>
      <c r="D536" s="21" t="s">
        <v>11058</v>
      </c>
      <c r="E536" s="21" t="s">
        <v>11013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11038</v>
      </c>
      <c r="C537" s="21">
        <v>9596577125</v>
      </c>
      <c r="D537" s="21" t="s">
        <v>11063</v>
      </c>
      <c r="E537" s="21" t="s">
        <v>11047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11043</v>
      </c>
      <c r="C538" s="21">
        <v>6006124106</v>
      </c>
      <c r="D538" s="21" t="s">
        <v>11065</v>
      </c>
      <c r="E538" s="21" t="s">
        <v>11048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10983</v>
      </c>
      <c r="C539" s="21">
        <v>9858414762</v>
      </c>
      <c r="D539" s="21" t="s">
        <v>11071</v>
      </c>
      <c r="E539" s="21" t="s">
        <v>10991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11062</v>
      </c>
      <c r="C540" s="21">
        <v>7780954780</v>
      </c>
      <c r="D540" s="21" t="s">
        <v>11072</v>
      </c>
      <c r="E540" s="21" t="s">
        <v>11064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11069</v>
      </c>
      <c r="C541" s="21">
        <v>7889312502</v>
      </c>
      <c r="D541" s="21" t="s">
        <v>11070</v>
      </c>
      <c r="E541" s="21" t="s">
        <v>11027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11084</v>
      </c>
      <c r="E542" s="21" t="s">
        <v>11083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11101</v>
      </c>
      <c r="C543" s="21">
        <v>9622566678</v>
      </c>
      <c r="D543" s="21" t="s">
        <v>11120</v>
      </c>
      <c r="E543" s="21" t="s">
        <v>11111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11125</v>
      </c>
      <c r="C544" s="21">
        <v>7051636983</v>
      </c>
      <c r="D544" s="21" t="s">
        <v>11128</v>
      </c>
      <c r="E544" s="21" t="s">
        <v>11123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11088</v>
      </c>
      <c r="C545" s="21">
        <v>8899693028</v>
      </c>
      <c r="D545" s="21" t="s">
        <v>11135</v>
      </c>
      <c r="E545" s="21" t="s">
        <v>11089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11103</v>
      </c>
      <c r="C546" s="21">
        <v>9596300301</v>
      </c>
      <c r="D546" s="21" t="s">
        <v>11136</v>
      </c>
      <c r="E546" s="21" t="s">
        <v>11110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11131</v>
      </c>
      <c r="C547" s="21">
        <v>9596422011</v>
      </c>
      <c r="D547" s="21" t="s">
        <v>11137</v>
      </c>
      <c r="E547" s="21" t="s">
        <v>11134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11170</v>
      </c>
      <c r="E548" s="21" t="s">
        <v>11163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11157</v>
      </c>
      <c r="C549" s="21">
        <v>7006471404</v>
      </c>
      <c r="D549" s="21" t="s">
        <v>11171</v>
      </c>
      <c r="E549" s="21" t="s">
        <v>11158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11140</v>
      </c>
      <c r="C550" s="21">
        <v>7889943024</v>
      </c>
      <c r="D550" s="21" t="s">
        <v>11172</v>
      </c>
      <c r="E550" s="21" t="s">
        <v>11142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11146</v>
      </c>
      <c r="C551" s="21">
        <v>7006213927</v>
      </c>
      <c r="D551" s="21" t="s">
        <v>11173</v>
      </c>
      <c r="E551" s="21" t="s">
        <v>11161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11181</v>
      </c>
      <c r="C552" s="21">
        <v>7006626147</v>
      </c>
      <c r="D552" s="21" t="s">
        <v>11184</v>
      </c>
      <c r="E552" s="21" t="s">
        <v>11183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11207</v>
      </c>
      <c r="C553" s="21">
        <v>9906216462</v>
      </c>
      <c r="D553" s="21" t="s">
        <v>11208</v>
      </c>
      <c r="E553" s="21" t="s">
        <v>11209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11192</v>
      </c>
      <c r="C554" s="21"/>
      <c r="D554" s="21" t="s">
        <v>11210</v>
      </c>
      <c r="E554" s="21" t="s">
        <v>11196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11188</v>
      </c>
      <c r="C555" s="21">
        <v>7889775854</v>
      </c>
      <c r="D555" s="21" t="s">
        <v>11211</v>
      </c>
      <c r="E555" s="21" t="s">
        <v>11195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11253</v>
      </c>
      <c r="C556" s="21">
        <v>7006012723</v>
      </c>
      <c r="D556" s="21" t="s">
        <v>11249</v>
      </c>
      <c r="E556" s="21" t="s">
        <v>11247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11214</v>
      </c>
      <c r="C557" s="21">
        <v>7006462336</v>
      </c>
      <c r="D557" s="21" t="s">
        <v>11250</v>
      </c>
      <c r="E557" s="21" t="s">
        <v>11221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11225</v>
      </c>
      <c r="C558" s="21">
        <v>7006510242</v>
      </c>
      <c r="D558" s="21" t="s">
        <v>11251</v>
      </c>
      <c r="E558" s="21" t="s">
        <v>11237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11252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11246</v>
      </c>
      <c r="C560" s="21">
        <v>9906265335</v>
      </c>
      <c r="D560" s="21" t="s">
        <v>11255</v>
      </c>
      <c r="E560" s="21" t="s">
        <v>11248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10838</v>
      </c>
      <c r="C561" s="21">
        <v>8979091582</v>
      </c>
      <c r="D561" s="21" t="s">
        <v>11256</v>
      </c>
      <c r="E561" s="21" t="s">
        <v>11133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11278</v>
      </c>
      <c r="C562" s="21">
        <v>7006047465</v>
      </c>
      <c r="D562" s="21" t="s">
        <v>11281</v>
      </c>
      <c r="E562" s="21" t="s">
        <v>11279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11282</v>
      </c>
      <c r="E563" s="21" t="s">
        <v>11272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11228</v>
      </c>
      <c r="C564" s="21">
        <v>9419009819</v>
      </c>
      <c r="D564" s="21" t="s">
        <v>11283</v>
      </c>
      <c r="E564" s="21" t="s">
        <v>11235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11192</v>
      </c>
      <c r="C565" s="21">
        <v>7006537603</v>
      </c>
      <c r="D565" s="21" t="s">
        <v>11210</v>
      </c>
      <c r="E565" s="21" t="s">
        <v>11196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11234</v>
      </c>
      <c r="C566" s="21">
        <v>7006783199</v>
      </c>
      <c r="D566" s="21" t="s">
        <v>11284</v>
      </c>
      <c r="E566" s="21" t="s">
        <v>11238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11302</v>
      </c>
      <c r="C567" s="21">
        <v>8492067254</v>
      </c>
      <c r="D567" s="21" t="s">
        <v>11303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11293</v>
      </c>
      <c r="C568" s="21">
        <v>9419409046</v>
      </c>
      <c r="D568" s="21" t="s">
        <v>11304</v>
      </c>
      <c r="E568" s="21" t="s">
        <v>11296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11289</v>
      </c>
      <c r="C569" s="21">
        <v>7006208490</v>
      </c>
      <c r="D569" s="21" t="s">
        <v>11305</v>
      </c>
      <c r="E569" s="21" t="s">
        <v>11295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11308</v>
      </c>
      <c r="C570" s="21">
        <v>9596280520</v>
      </c>
      <c r="D570" s="21" t="s">
        <v>11320</v>
      </c>
      <c r="E570" s="21" t="s">
        <v>11312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11327</v>
      </c>
      <c r="C571" s="21">
        <v>9906606118</v>
      </c>
      <c r="D571" s="21" t="s">
        <v>11328</v>
      </c>
      <c r="E571" s="21" t="s">
        <v>11329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/>
      <c r="C572" s="21"/>
      <c r="D572" s="21"/>
      <c r="E572" s="21"/>
      <c r="F572" s="14"/>
      <c r="G572" s="14"/>
      <c r="H572" s="12"/>
    </row>
    <row r="573" spans="1:8" ht="15.75" x14ac:dyDescent="0.25">
      <c r="A573" s="12">
        <f t="shared" si="8"/>
        <v>571</v>
      </c>
      <c r="B573" s="12"/>
      <c r="C573" s="12"/>
      <c r="D573" s="12"/>
      <c r="E573" s="12"/>
      <c r="F573" s="14"/>
      <c r="G573" s="14"/>
      <c r="H573" s="12"/>
    </row>
  </sheetData>
  <mergeCells count="1">
    <mergeCell ref="A1:H1"/>
  </mergeCells>
  <phoneticPr fontId="26" type="noConversion"/>
  <conditionalFormatting sqref="B568:E572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5"/>
  <sheetViews>
    <sheetView workbookViewId="0">
      <selection activeCell="E7" sqref="E7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50" t="s">
        <v>9462</v>
      </c>
      <c r="B1" s="50"/>
      <c r="C1" s="50"/>
      <c r="D1" s="50"/>
      <c r="E1" s="50"/>
      <c r="F1" s="50"/>
      <c r="G1" s="50"/>
      <c r="H1" s="50"/>
      <c r="I1" s="50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11321</v>
      </c>
      <c r="D8" s="21" t="s">
        <v>337</v>
      </c>
      <c r="E8" s="21" t="s">
        <v>11331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11322</v>
      </c>
      <c r="D9" s="21" t="s">
        <v>360</v>
      </c>
      <c r="E9" s="21" t="s">
        <v>11331</v>
      </c>
      <c r="F9" s="21"/>
      <c r="G9" s="21"/>
      <c r="H9" s="21">
        <v>543</v>
      </c>
      <c r="I9" s="21" t="s">
        <v>11330</v>
      </c>
    </row>
    <row r="10" spans="1:9" x14ac:dyDescent="0.25">
      <c r="A10" s="21">
        <f t="shared" si="0"/>
        <v>8</v>
      </c>
      <c r="B10" s="21"/>
      <c r="C10" s="21" t="s">
        <v>11323</v>
      </c>
      <c r="D10" s="21" t="s">
        <v>360</v>
      </c>
      <c r="E10" s="21" t="s">
        <v>11331</v>
      </c>
      <c r="F10" s="21"/>
      <c r="G10" s="21"/>
      <c r="H10" s="21">
        <v>543</v>
      </c>
      <c r="I10" s="21" t="s">
        <v>11330</v>
      </c>
    </row>
    <row r="11" spans="1:9" x14ac:dyDescent="0.25">
      <c r="A11" s="21">
        <f t="shared" si="0"/>
        <v>9</v>
      </c>
      <c r="B11" s="21"/>
      <c r="C11" s="21" t="s">
        <v>11324</v>
      </c>
      <c r="D11" s="21" t="s">
        <v>360</v>
      </c>
      <c r="E11" s="21" t="s">
        <v>11331</v>
      </c>
      <c r="F11" s="21"/>
      <c r="G11" s="21"/>
      <c r="H11" s="21">
        <v>543</v>
      </c>
      <c r="I11" s="21" t="s">
        <v>11330</v>
      </c>
    </row>
    <row r="12" spans="1:9" x14ac:dyDescent="0.25">
      <c r="A12" s="21">
        <f t="shared" si="0"/>
        <v>10</v>
      </c>
      <c r="B12" s="21"/>
      <c r="C12" s="21" t="s">
        <v>11325</v>
      </c>
      <c r="D12" s="21" t="s">
        <v>360</v>
      </c>
      <c r="E12" s="21" t="s">
        <v>11331</v>
      </c>
      <c r="F12" s="21"/>
      <c r="G12" s="21"/>
      <c r="H12" s="21">
        <v>543</v>
      </c>
      <c r="I12" s="21" t="s">
        <v>11330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11331</v>
      </c>
      <c r="F13" s="21"/>
      <c r="G13" s="21"/>
      <c r="H13" s="59">
        <v>280</v>
      </c>
      <c r="I13" s="21" t="s">
        <v>11330</v>
      </c>
    </row>
    <row r="14" spans="1:9" x14ac:dyDescent="0.25">
      <c r="A14" s="21">
        <f t="shared" si="0"/>
        <v>12</v>
      </c>
      <c r="B14" s="21"/>
      <c r="C14" s="21" t="s">
        <v>11326</v>
      </c>
      <c r="D14" s="21" t="s">
        <v>360</v>
      </c>
      <c r="E14" s="21" t="s">
        <v>11331</v>
      </c>
      <c r="F14" s="21"/>
      <c r="G14" s="21"/>
      <c r="H14" s="21">
        <v>543</v>
      </c>
      <c r="I14" s="21" t="s">
        <v>11330</v>
      </c>
    </row>
    <row r="15" spans="1:9" x14ac:dyDescent="0.25">
      <c r="A15" s="21">
        <f t="shared" si="0"/>
        <v>13</v>
      </c>
      <c r="B15" s="21"/>
      <c r="C15" s="21"/>
      <c r="D15" s="21"/>
      <c r="E15" s="21"/>
      <c r="F15" s="21"/>
      <c r="G15" s="21"/>
      <c r="H15" s="59"/>
      <c r="I15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2026-06-16T12:49:28Z</dcterms:modified>
</cp:coreProperties>
</file>