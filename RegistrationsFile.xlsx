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CEAE17-1F69-4B50-9506-96A4BA90BB17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1" i="7" l="1"/>
  <c r="A632" i="7"/>
  <c r="A633" i="7"/>
  <c r="A634" i="7"/>
  <c r="A635" i="7"/>
  <c r="A636" i="7"/>
  <c r="A637" i="7"/>
  <c r="A638" i="7"/>
  <c r="H937" i="4"/>
  <c r="H938" i="4"/>
  <c r="H939" i="4"/>
  <c r="H940" i="4"/>
  <c r="H941" i="4"/>
  <c r="H942" i="4"/>
  <c r="H943" i="4"/>
  <c r="H944" i="4"/>
  <c r="A937" i="4"/>
  <c r="A938" i="4"/>
  <c r="A939" i="4"/>
  <c r="A940" i="4"/>
  <c r="A941" i="4"/>
  <c r="A942" i="4"/>
  <c r="A943" i="4"/>
  <c r="A944" i="4"/>
  <c r="A627" i="7" l="1"/>
  <c r="A628" i="7"/>
  <c r="A629" i="7"/>
  <c r="A630" i="7"/>
  <c r="H900" i="4"/>
  <c r="H901" i="4"/>
  <c r="H930" i="4"/>
  <c r="H931" i="4"/>
  <c r="H932" i="4"/>
  <c r="H933" i="4"/>
  <c r="H934" i="4"/>
  <c r="H935" i="4"/>
  <c r="H936" i="4"/>
  <c r="A930" i="4"/>
  <c r="A931" i="4"/>
  <c r="A932" i="4"/>
  <c r="A933" i="4"/>
  <c r="A934" i="4"/>
  <c r="A935" i="4"/>
  <c r="A936" i="4"/>
  <c r="A624" i="7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<sst xmlns="http://schemas.openxmlformats.org/spreadsheetml/2006/main" count="29270" uniqueCount="11792">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</sst>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44" totalsRowShown="0" headerRowDxfId="91" dataDxfId="90">
  <autoFilter ref="A1:R944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6" dataDxfId="45">
  <autoFilter ref="A2:I15" xr:uid="{74ED0DA7-B29F-4043-B63E-2DC322D6021E}"/>
  <tableColumns count="9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38" totalsRowShown="0" headerRowDxfId="35" dataDxfId="34">
  <autoFilter ref="A2:H63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12"/>
  <sheetViews>
    <sheetView tabSelected="1" topLeftCell="A920" zoomScaleNormal="100" workbookViewId="0">
      <selection activeCell="N937" sqref="N93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11694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11693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11661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11695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11704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 t="s">
        <v>519</v>
      </c>
      <c r="N829" s="22">
        <v>46209</v>
      </c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11582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11693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11703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11602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11076</v>
      </c>
      <c r="M889" s="21" t="s">
        <v>11076</v>
      </c>
      <c r="N889" s="22">
        <v>46210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6436</v>
      </c>
      <c r="N896" s="22">
        <v>46209</v>
      </c>
      <c r="O896" s="21"/>
      <c r="P896" s="24"/>
      <c r="Q896" s="21"/>
      <c r="R896" s="21"/>
    </row>
    <row r="897" spans="1:18" x14ac:dyDescent="0.25">
      <c r="A897" s="21">
        <f t="shared" ref="A897:A944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11568</v>
      </c>
      <c r="M898" s="23" t="s">
        <v>11748</v>
      </c>
      <c r="N898" s="22">
        <v>46207</v>
      </c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ht="15.75" x14ac:dyDescent="0.25">
      <c r="A900" s="21">
        <f t="shared" si="33"/>
        <v>899</v>
      </c>
      <c r="B900" s="21" t="s">
        <v>11546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NEW</v>
      </c>
      <c r="I900" s="21" t="s">
        <v>11732</v>
      </c>
      <c r="J900" s="22">
        <v>46198</v>
      </c>
      <c r="K900" s="21">
        <v>7889410951</v>
      </c>
      <c r="L900" s="21" t="s">
        <v>11560</v>
      </c>
      <c r="M900" s="23"/>
      <c r="N900" s="22"/>
      <c r="O900" s="21"/>
      <c r="P900" s="24"/>
      <c r="Q900" s="21"/>
      <c r="R900" s="21" t="s">
        <v>11776</v>
      </c>
    </row>
    <row r="901" spans="1:18" x14ac:dyDescent="0.25">
      <c r="A901" s="21">
        <f t="shared" si="33"/>
        <v>900</v>
      </c>
      <c r="B901" s="21" t="s">
        <v>11547</v>
      </c>
      <c r="C901" s="21" t="s">
        <v>11554</v>
      </c>
      <c r="D901" s="21" t="s">
        <v>11555</v>
      </c>
      <c r="E901" s="21" t="s">
        <v>11553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11552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11549</v>
      </c>
      <c r="D902" s="21" t="s">
        <v>11548</v>
      </c>
      <c r="E902" s="21" t="s">
        <v>11550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11567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11557</v>
      </c>
      <c r="C903" s="21" t="s">
        <v>11558</v>
      </c>
      <c r="D903" s="21" t="s">
        <v>11559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11565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11564</v>
      </c>
      <c r="C904" s="21" t="s">
        <v>11561</v>
      </c>
      <c r="D904" s="21" t="s">
        <v>11562</v>
      </c>
      <c r="E904" s="21" t="s">
        <v>11563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11566</v>
      </c>
      <c r="J904" s="22">
        <v>46199</v>
      </c>
      <c r="K904" s="21">
        <v>9596191449</v>
      </c>
      <c r="L904" s="21" t="s">
        <v>547</v>
      </c>
      <c r="M904" s="23" t="s">
        <v>11696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11572</v>
      </c>
      <c r="C905" s="21" t="s">
        <v>11573</v>
      </c>
      <c r="D905" s="21" t="s">
        <v>11574</v>
      </c>
      <c r="E905" s="21" t="s">
        <v>11575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11580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11579</v>
      </c>
      <c r="C906" s="21" t="s">
        <v>11576</v>
      </c>
      <c r="D906" s="21" t="s">
        <v>11577</v>
      </c>
      <c r="E906" s="21" t="s">
        <v>11578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11581</v>
      </c>
      <c r="J906" s="22">
        <v>46202</v>
      </c>
      <c r="K906" s="21">
        <v>7006560058</v>
      </c>
      <c r="L906" s="21" t="s">
        <v>26</v>
      </c>
      <c r="M906" s="23" t="s">
        <v>11578</v>
      </c>
      <c r="N906" s="22">
        <v>46210</v>
      </c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11593</v>
      </c>
      <c r="C907" s="21" t="s">
        <v>11594</v>
      </c>
      <c r="D907" s="21" t="s">
        <v>11595</v>
      </c>
      <c r="E907" s="21" t="s">
        <v>11596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11597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11601</v>
      </c>
      <c r="C908" s="21" t="s">
        <v>11598</v>
      </c>
      <c r="D908" s="21" t="s">
        <v>11599</v>
      </c>
      <c r="E908" s="21" t="s">
        <v>11600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11608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11606</v>
      </c>
      <c r="C909" s="21" t="s">
        <v>11603</v>
      </c>
      <c r="D909" s="21" t="s">
        <v>11604</v>
      </c>
      <c r="E909" s="21" t="s">
        <v>11605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11607</v>
      </c>
      <c r="J909" s="22">
        <v>46202</v>
      </c>
      <c r="K909" s="21">
        <v>8491965615</v>
      </c>
      <c r="L909" s="21" t="s">
        <v>11309</v>
      </c>
      <c r="M909" s="23" t="s">
        <v>11723</v>
      </c>
      <c r="N909" s="22">
        <v>46207</v>
      </c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11585</v>
      </c>
      <c r="C910" s="21" t="s">
        <v>11586</v>
      </c>
      <c r="D910" s="21" t="s">
        <v>11588</v>
      </c>
      <c r="E910" s="21" t="s">
        <v>11587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11609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11615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11614</v>
      </c>
      <c r="C912" s="21" t="s">
        <v>11610</v>
      </c>
      <c r="D912" s="21" t="s">
        <v>11611</v>
      </c>
      <c r="E912" s="21" t="s">
        <v>11612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11630</v>
      </c>
      <c r="J912" s="22">
        <v>46203</v>
      </c>
      <c r="K912" s="21">
        <v>9599281803</v>
      </c>
      <c r="L912" s="21" t="s">
        <v>11613</v>
      </c>
      <c r="M912" s="23" t="s">
        <v>11722</v>
      </c>
      <c r="N912" s="22">
        <v>46207</v>
      </c>
      <c r="O912" s="21" t="s">
        <v>23</v>
      </c>
      <c r="P912" s="24">
        <v>46207</v>
      </c>
      <c r="Q912" s="21" t="s">
        <v>6454</v>
      </c>
      <c r="R912" s="21"/>
    </row>
    <row r="913" spans="1:18" x14ac:dyDescent="0.25">
      <c r="A913" s="21">
        <f t="shared" si="33"/>
        <v>912</v>
      </c>
      <c r="B913" s="21" t="s">
        <v>11622</v>
      </c>
      <c r="C913" s="21" t="s">
        <v>11623</v>
      </c>
      <c r="D913" s="21" t="s">
        <v>11624</v>
      </c>
      <c r="E913" s="21" t="s">
        <v>11625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11644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11629</v>
      </c>
      <c r="C914" s="21" t="s">
        <v>11627</v>
      </c>
      <c r="D914" s="21" t="s">
        <v>11628</v>
      </c>
      <c r="E914" s="21" t="s">
        <v>11626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11643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11631</v>
      </c>
      <c r="C915" s="21" t="s">
        <v>11632</v>
      </c>
      <c r="D915" s="21" t="s">
        <v>11633</v>
      </c>
      <c r="E915" s="21" t="s">
        <v>11634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11645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2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11639</v>
      </c>
      <c r="C916" s="21" t="s">
        <v>11640</v>
      </c>
      <c r="D916" s="21" t="s">
        <v>11641</v>
      </c>
      <c r="E916" s="21" t="s">
        <v>11642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11646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2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11635</v>
      </c>
      <c r="C917" s="21" t="s">
        <v>11636</v>
      </c>
      <c r="D917" s="21" t="s">
        <v>11637</v>
      </c>
      <c r="E917" s="21" t="s">
        <v>11638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11647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2"/>
      <c r="Q917" s="21"/>
      <c r="R917" s="21"/>
    </row>
    <row r="918" spans="1:18" x14ac:dyDescent="0.25">
      <c r="A918" s="21">
        <f t="shared" si="33"/>
        <v>917</v>
      </c>
      <c r="B918" s="21" t="s">
        <v>11648</v>
      </c>
      <c r="C918" s="21" t="s">
        <v>11649</v>
      </c>
      <c r="D918" s="21" t="s">
        <v>11650</v>
      </c>
      <c r="E918" s="21" t="s">
        <v>11651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11658</v>
      </c>
      <c r="J918" s="22">
        <v>46203</v>
      </c>
      <c r="K918" s="21">
        <v>9682641134</v>
      </c>
      <c r="L918" s="21" t="s">
        <v>303</v>
      </c>
      <c r="M918" s="23" t="s">
        <v>11688</v>
      </c>
      <c r="N918" s="22">
        <v>46205</v>
      </c>
      <c r="O918" s="21" t="s">
        <v>23</v>
      </c>
      <c r="P918" s="22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11655</v>
      </c>
      <c r="C919" s="21" t="s">
        <v>11652</v>
      </c>
      <c r="D919" s="21" t="s">
        <v>11653</v>
      </c>
      <c r="E919" s="21" t="s">
        <v>11654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11657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2"/>
      <c r="Q919" s="21"/>
      <c r="R919" s="21"/>
    </row>
    <row r="920" spans="1:18" x14ac:dyDescent="0.25">
      <c r="A920" s="21">
        <f t="shared" si="33"/>
        <v>919</v>
      </c>
      <c r="B920" s="21" t="s">
        <v>11666</v>
      </c>
      <c r="C920" s="21" t="s">
        <v>11667</v>
      </c>
      <c r="D920" s="21" t="s">
        <v>11668</v>
      </c>
      <c r="E920" s="21" t="s">
        <v>11669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11670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2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11674</v>
      </c>
      <c r="C921" s="21" t="s">
        <v>11671</v>
      </c>
      <c r="D921" s="21" t="s">
        <v>11672</v>
      </c>
      <c r="E921" s="21" t="s">
        <v>11673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11675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2"/>
      <c r="Q921" s="21"/>
      <c r="R921" s="21"/>
    </row>
    <row r="922" spans="1:18" x14ac:dyDescent="0.25">
      <c r="A922" s="21">
        <f t="shared" si="33"/>
        <v>921</v>
      </c>
      <c r="B922" s="21" t="s">
        <v>11677</v>
      </c>
      <c r="C922" s="21" t="s">
        <v>11681</v>
      </c>
      <c r="D922" s="21" t="s">
        <v>11678</v>
      </c>
      <c r="E922" s="21" t="s">
        <v>11679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11680</v>
      </c>
      <c r="J922" s="22">
        <v>46205</v>
      </c>
      <c r="K922" s="21">
        <v>9596080368</v>
      </c>
      <c r="L922" s="21" t="s">
        <v>9241</v>
      </c>
      <c r="M922" s="23" t="s">
        <v>11703</v>
      </c>
      <c r="N922" s="22">
        <v>46206</v>
      </c>
      <c r="O922" s="21" t="s">
        <v>23</v>
      </c>
      <c r="P922" s="22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11683</v>
      </c>
      <c r="C923" s="21" t="s">
        <v>11684</v>
      </c>
      <c r="D923" s="21" t="s">
        <v>11685</v>
      </c>
      <c r="E923" s="21" t="s">
        <v>11686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11687</v>
      </c>
      <c r="J923" s="22">
        <v>46205</v>
      </c>
      <c r="K923" s="21">
        <v>9906667265</v>
      </c>
      <c r="L923" s="21" t="s">
        <v>1122</v>
      </c>
      <c r="M923" s="23" t="s">
        <v>11697</v>
      </c>
      <c r="N923" s="22">
        <v>46206</v>
      </c>
      <c r="O923" s="21" t="s">
        <v>23</v>
      </c>
      <c r="P923" s="22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11698</v>
      </c>
      <c r="C924" s="21" t="s">
        <v>11700</v>
      </c>
      <c r="D924" s="21" t="s">
        <v>11701</v>
      </c>
      <c r="E924" s="21" t="s">
        <v>11702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11699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2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11705</v>
      </c>
      <c r="C925" s="21" t="s">
        <v>11706</v>
      </c>
      <c r="D925" s="21" t="s">
        <v>11707</v>
      </c>
      <c r="E925" s="21" t="s">
        <v>11708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11721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2"/>
      <c r="Q925" s="21"/>
      <c r="R925" s="21"/>
    </row>
    <row r="926" spans="1:18" x14ac:dyDescent="0.25">
      <c r="A926" s="21">
        <f t="shared" si="33"/>
        <v>925</v>
      </c>
      <c r="B926" s="21" t="s">
        <v>11709</v>
      </c>
      <c r="C926" s="21" t="s">
        <v>11711</v>
      </c>
      <c r="D926" s="21" t="s">
        <v>11712</v>
      </c>
      <c r="E926" s="21" t="s">
        <v>11710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11720</v>
      </c>
      <c r="J926" s="22">
        <v>46206</v>
      </c>
      <c r="K926" s="21">
        <v>7006171701</v>
      </c>
      <c r="L926" s="21" t="s">
        <v>191</v>
      </c>
      <c r="M926" s="23" t="s">
        <v>191</v>
      </c>
      <c r="N926" s="22">
        <v>46209</v>
      </c>
      <c r="O926" s="21" t="s">
        <v>23</v>
      </c>
      <c r="P926" s="22">
        <v>46209</v>
      </c>
      <c r="Q926" s="21" t="s">
        <v>6454</v>
      </c>
      <c r="R926" s="21"/>
    </row>
    <row r="927" spans="1:18" x14ac:dyDescent="0.25">
      <c r="A927" s="21">
        <f t="shared" si="33"/>
        <v>926</v>
      </c>
      <c r="B927" s="21" t="s">
        <v>11724</v>
      </c>
      <c r="C927" s="21" t="s">
        <v>11725</v>
      </c>
      <c r="D927" s="21" t="s">
        <v>11726</v>
      </c>
      <c r="E927" s="21" t="s">
        <v>11727</v>
      </c>
      <c r="F927" s="21" t="s">
        <v>12</v>
      </c>
      <c r="G927" s="21" t="s">
        <v>197</v>
      </c>
      <c r="H927" s="21" t="str">
        <f t="shared" si="37"/>
        <v>SRINAGAR</v>
      </c>
      <c r="I927" s="21" t="s">
        <v>11734</v>
      </c>
      <c r="J927" s="22">
        <v>46207</v>
      </c>
      <c r="K927" s="21">
        <v>6006424311</v>
      </c>
      <c r="L927" s="21" t="s">
        <v>2168</v>
      </c>
      <c r="M927" s="23" t="s">
        <v>2168</v>
      </c>
      <c r="N927" s="22">
        <v>46209</v>
      </c>
      <c r="O927" s="21" t="s">
        <v>23</v>
      </c>
      <c r="P927" s="22">
        <v>46207</v>
      </c>
      <c r="Q927" s="21" t="s">
        <v>6454</v>
      </c>
      <c r="R927" s="21"/>
    </row>
    <row r="928" spans="1:18" x14ac:dyDescent="0.25">
      <c r="A928" s="21">
        <f t="shared" si="33"/>
        <v>927</v>
      </c>
      <c r="B928" s="21" t="s">
        <v>11731</v>
      </c>
      <c r="C928" s="21" t="s">
        <v>11728</v>
      </c>
      <c r="D928" s="21" t="s">
        <v>11729</v>
      </c>
      <c r="E928" s="21" t="s">
        <v>11730</v>
      </c>
      <c r="F928" s="21" t="s">
        <v>98</v>
      </c>
      <c r="G928" s="21" t="s">
        <v>171</v>
      </c>
      <c r="H928" s="21" t="str">
        <f t="shared" si="37"/>
        <v>SRINAGAR</v>
      </c>
      <c r="I928" s="21" t="s">
        <v>11733</v>
      </c>
      <c r="J928" s="22">
        <v>46207</v>
      </c>
      <c r="K928" s="21">
        <v>9086494459</v>
      </c>
      <c r="L928" s="21" t="s">
        <v>42</v>
      </c>
      <c r="M928" s="23"/>
      <c r="N928" s="22"/>
      <c r="O928" s="21" t="s">
        <v>23</v>
      </c>
      <c r="P928" s="22">
        <v>46207</v>
      </c>
      <c r="Q928" s="21" t="s">
        <v>6454</v>
      </c>
      <c r="R928" s="21"/>
    </row>
    <row r="929" spans="1:18" x14ac:dyDescent="0.25">
      <c r="A929" s="21">
        <f t="shared" si="33"/>
        <v>928</v>
      </c>
      <c r="B929" s="21" t="s">
        <v>11735</v>
      </c>
      <c r="C929" s="21" t="s">
        <v>11736</v>
      </c>
      <c r="D929" s="21" t="s">
        <v>11737</v>
      </c>
      <c r="E929" s="21" t="s">
        <v>11738</v>
      </c>
      <c r="F929" s="21" t="s">
        <v>98</v>
      </c>
      <c r="G929" s="21" t="s">
        <v>197</v>
      </c>
      <c r="H929" s="21" t="str">
        <f t="shared" si="37"/>
        <v>POONCH</v>
      </c>
      <c r="I929" s="21" t="s">
        <v>11747</v>
      </c>
      <c r="J929" s="22">
        <v>46207</v>
      </c>
      <c r="K929" s="21">
        <v>7006421617</v>
      </c>
      <c r="L929" s="21" t="s">
        <v>192</v>
      </c>
      <c r="M929" s="23" t="s">
        <v>192</v>
      </c>
      <c r="N929" s="22">
        <v>46207</v>
      </c>
      <c r="O929" s="21" t="s">
        <v>23</v>
      </c>
      <c r="P929" s="22">
        <v>46207</v>
      </c>
      <c r="Q929" s="21" t="s">
        <v>6454</v>
      </c>
      <c r="R929" s="21"/>
    </row>
    <row r="930" spans="1:18" x14ac:dyDescent="0.25">
      <c r="A930" s="21">
        <f t="shared" si="33"/>
        <v>929</v>
      </c>
      <c r="B930" s="21" t="s">
        <v>11742</v>
      </c>
      <c r="C930" s="21" t="s">
        <v>11740</v>
      </c>
      <c r="D930" s="21" t="s">
        <v>11741</v>
      </c>
      <c r="E930" s="21" t="s">
        <v>11739</v>
      </c>
      <c r="F930" s="21" t="s">
        <v>5</v>
      </c>
      <c r="G930" s="21" t="s">
        <v>197</v>
      </c>
      <c r="H930" s="21" t="str">
        <f t="shared" ref="H930:H936" si="38">IF(LEFT(I930,4)="JK13","PULWAMA",IF(LEFT(I930,4)="JK01","SRINAGAR",IF(LEFT(I930,4)="JK04","BUDGAM",IF(LEFT(I930,4)="JK03","ANANTNAG",IF(LEFT(I930,4)="LA01","KARGIL",IF(LEFT(I930,4)="JK05","BARAMULLA",IF(LEFT(I930,4)="26BH","BHARAT",IF(LEFT(I930,4)="25BH","BHARAT",IF(LEFT(I930,4)="JK12","POONCH",IF(LEFT(I930,4)="JK16","GANDERBAL",IF(LEFT(I930,4)="JK18","KULGAM",IF(LEFT(I930,4)="JK22","SHOPIAN",IF(LEFT(I930,4)="JK02","JAMMU",IF(LEFT(I930,4)="JK09","KUPWARA",IF(LEFT(I930,4)="JK15","BANDIPORA",IF(LEFT(I930,4)="JK17","KISHTWAR",IF(LEFT(I930,4)="LA01","KARGIL",IF(LEFT(I930,1)="T","TEMP","NEW"))))))))))))))))))</f>
        <v>TEMP</v>
      </c>
      <c r="I930" s="21" t="s">
        <v>11743</v>
      </c>
      <c r="J930" s="22">
        <v>46207</v>
      </c>
      <c r="K930" s="21">
        <v>6005346937</v>
      </c>
      <c r="L930" s="21" t="s">
        <v>11309</v>
      </c>
      <c r="M930" s="23"/>
      <c r="N930" s="22"/>
      <c r="O930" s="21"/>
      <c r="P930" s="22"/>
      <c r="Q930" s="21"/>
      <c r="R930" s="21"/>
    </row>
    <row r="931" spans="1:18" x14ac:dyDescent="0.25">
      <c r="A931" s="21">
        <f t="shared" si="33"/>
        <v>930</v>
      </c>
      <c r="B931" s="21" t="s">
        <v>11753</v>
      </c>
      <c r="C931" s="21" t="s">
        <v>11750</v>
      </c>
      <c r="D931" s="21" t="s">
        <v>11751</v>
      </c>
      <c r="E931" s="21" t="s">
        <v>11752</v>
      </c>
      <c r="F931" s="21" t="s">
        <v>36</v>
      </c>
      <c r="G931" s="21" t="s">
        <v>223</v>
      </c>
      <c r="H931" s="21" t="str">
        <f t="shared" si="38"/>
        <v>KULGAM</v>
      </c>
      <c r="I931" s="21" t="s">
        <v>11756</v>
      </c>
      <c r="J931" s="22">
        <v>46209</v>
      </c>
      <c r="K931" s="21">
        <v>9682595915</v>
      </c>
      <c r="L931" s="21" t="s">
        <v>11076</v>
      </c>
      <c r="M931" s="21" t="s">
        <v>11076</v>
      </c>
      <c r="N931" s="22">
        <v>46210</v>
      </c>
      <c r="O931" s="21" t="s">
        <v>23</v>
      </c>
      <c r="P931" s="22">
        <v>46210</v>
      </c>
      <c r="Q931" s="21" t="s">
        <v>6454</v>
      </c>
      <c r="R931" s="21"/>
    </row>
    <row r="932" spans="1:18" x14ac:dyDescent="0.25">
      <c r="A932" s="21">
        <f t="shared" si="33"/>
        <v>931</v>
      </c>
      <c r="B932" s="21" t="s">
        <v>11759</v>
      </c>
      <c r="C932" s="21" t="s">
        <v>11757</v>
      </c>
      <c r="D932" s="21" t="s">
        <v>11758</v>
      </c>
      <c r="E932" s="21" t="s">
        <v>6428</v>
      </c>
      <c r="F932" s="21" t="s">
        <v>65</v>
      </c>
      <c r="G932" s="21" t="s">
        <v>196</v>
      </c>
      <c r="H932" s="21" t="str">
        <f t="shared" si="38"/>
        <v>SRINAGAR</v>
      </c>
      <c r="I932" s="21" t="s">
        <v>11768</v>
      </c>
      <c r="J932" s="22">
        <v>46209</v>
      </c>
      <c r="K932" s="21">
        <v>9906773886</v>
      </c>
      <c r="L932" s="21" t="s">
        <v>303</v>
      </c>
      <c r="M932" s="23" t="s">
        <v>303</v>
      </c>
      <c r="N932" s="22">
        <v>46210</v>
      </c>
      <c r="O932" s="21" t="s">
        <v>23</v>
      </c>
      <c r="P932" s="22">
        <v>46210</v>
      </c>
      <c r="Q932" s="21" t="s">
        <v>6454</v>
      </c>
      <c r="R932" s="21"/>
    </row>
    <row r="933" spans="1:18" x14ac:dyDescent="0.25">
      <c r="A933" s="21">
        <f t="shared" si="33"/>
        <v>932</v>
      </c>
      <c r="B933" s="21" t="s">
        <v>11763</v>
      </c>
      <c r="C933" s="21" t="s">
        <v>11760</v>
      </c>
      <c r="D933" s="21" t="s">
        <v>11761</v>
      </c>
      <c r="E933" s="21" t="s">
        <v>11762</v>
      </c>
      <c r="F933" s="21" t="s">
        <v>12</v>
      </c>
      <c r="G933" s="21" t="s">
        <v>171</v>
      </c>
      <c r="H933" s="21" t="str">
        <f t="shared" si="38"/>
        <v>SRINAGAR</v>
      </c>
      <c r="I933" s="21" t="s">
        <v>11769</v>
      </c>
      <c r="J933" s="22">
        <v>46209</v>
      </c>
      <c r="K933" s="21">
        <v>9419424931</v>
      </c>
      <c r="L933" s="21" t="s">
        <v>303</v>
      </c>
      <c r="M933" s="23"/>
      <c r="N933" s="22"/>
      <c r="O933" s="21" t="s">
        <v>23</v>
      </c>
      <c r="P933" s="22">
        <v>46210</v>
      </c>
      <c r="Q933" s="21" t="s">
        <v>6454</v>
      </c>
      <c r="R933" s="21"/>
    </row>
    <row r="934" spans="1:18" x14ac:dyDescent="0.25">
      <c r="A934" s="21">
        <f t="shared" si="33"/>
        <v>933</v>
      </c>
      <c r="B934" s="21" t="s">
        <v>11767</v>
      </c>
      <c r="C934" s="21" t="s">
        <v>11764</v>
      </c>
      <c r="D934" s="21" t="s">
        <v>11765</v>
      </c>
      <c r="E934" s="21" t="s">
        <v>11766</v>
      </c>
      <c r="F934" s="21" t="s">
        <v>36</v>
      </c>
      <c r="G934" s="21" t="s">
        <v>197</v>
      </c>
      <c r="H934" s="21" t="str">
        <f t="shared" si="38"/>
        <v>TEMP</v>
      </c>
      <c r="I934" s="21" t="s">
        <v>11770</v>
      </c>
      <c r="J934" s="22">
        <v>46209</v>
      </c>
      <c r="K934" s="21">
        <v>7889837576</v>
      </c>
      <c r="L934" s="21" t="s">
        <v>26</v>
      </c>
      <c r="M934" s="23"/>
      <c r="N934" s="22"/>
      <c r="O934" s="21"/>
      <c r="P934" s="22"/>
      <c r="Q934" s="21"/>
      <c r="R934" s="21"/>
    </row>
    <row r="935" spans="1:18" x14ac:dyDescent="0.25">
      <c r="A935" s="21">
        <f t="shared" si="33"/>
        <v>934</v>
      </c>
      <c r="B935" s="21" t="s">
        <v>11774</v>
      </c>
      <c r="C935" s="21" t="s">
        <v>11771</v>
      </c>
      <c r="D935" s="21" t="s">
        <v>11772</v>
      </c>
      <c r="E935" s="21" t="s">
        <v>11773</v>
      </c>
      <c r="F935" s="21" t="s">
        <v>12</v>
      </c>
      <c r="G935" s="21" t="s">
        <v>197</v>
      </c>
      <c r="H935" s="21" t="str">
        <f t="shared" si="38"/>
        <v>SHOPIAN</v>
      </c>
      <c r="I935" s="21" t="s">
        <v>11775</v>
      </c>
      <c r="J935" s="22">
        <v>46209</v>
      </c>
      <c r="K935" s="21">
        <v>7889497638</v>
      </c>
      <c r="L935" s="21" t="s">
        <v>6574</v>
      </c>
      <c r="M935" s="23"/>
      <c r="N935" s="22"/>
      <c r="O935" s="21"/>
      <c r="P935" s="22"/>
      <c r="Q935" s="21"/>
      <c r="R935" s="21"/>
    </row>
    <row r="936" spans="1:18" x14ac:dyDescent="0.25">
      <c r="A936" s="21">
        <f t="shared" si="33"/>
        <v>935</v>
      </c>
      <c r="B936" s="21" t="s">
        <v>11780</v>
      </c>
      <c r="C936" s="21" t="s">
        <v>11777</v>
      </c>
      <c r="D936" s="21" t="s">
        <v>11778</v>
      </c>
      <c r="E936" s="21" t="s">
        <v>11779</v>
      </c>
      <c r="F936" s="21" t="s">
        <v>98</v>
      </c>
      <c r="G936" s="21" t="s">
        <v>6435</v>
      </c>
      <c r="H936" s="21" t="str">
        <f t="shared" si="38"/>
        <v>SRINAGAR</v>
      </c>
      <c r="I936" s="21" t="s">
        <v>11781</v>
      </c>
      <c r="J936" s="22">
        <v>46210</v>
      </c>
      <c r="K936" s="21">
        <v>9622221606</v>
      </c>
      <c r="L936" s="21" t="s">
        <v>11309</v>
      </c>
      <c r="M936" s="23"/>
      <c r="N936" s="22"/>
      <c r="O936" s="21"/>
      <c r="P936" s="22"/>
      <c r="Q936" s="21"/>
      <c r="R936" s="21"/>
    </row>
    <row r="937" spans="1:18" x14ac:dyDescent="0.25">
      <c r="A937" s="21">
        <f t="shared" si="33"/>
        <v>936</v>
      </c>
      <c r="B937" s="21" t="s">
        <v>11784</v>
      </c>
      <c r="C937" s="21" t="s">
        <v>11785</v>
      </c>
      <c r="D937" s="21" t="s">
        <v>11786</v>
      </c>
      <c r="E937" s="21" t="s">
        <v>11787</v>
      </c>
      <c r="F937" s="21" t="s">
        <v>190</v>
      </c>
      <c r="G937" s="21" t="s">
        <v>197</v>
      </c>
      <c r="H937" s="21" t="str">
        <f t="shared" ref="H937:H944" si="39">IF(LEFT(I937,4)="JK13","PULWAMA",IF(LEFT(I937,4)="JK01","SRINAGAR",IF(LEFT(I937,4)="JK04","BUDGAM",IF(LEFT(I937,4)="JK03","ANANTNAG",IF(LEFT(I937,4)="LA01","KARGIL",IF(LEFT(I937,4)="JK05","BARAMULLA",IF(LEFT(I937,4)="26BH","BHARAT",IF(LEFT(I937,4)="25BH","BHARAT",IF(LEFT(I937,4)="JK12","POONCH",IF(LEFT(I937,4)="JK16","GANDERBAL",IF(LEFT(I937,4)="JK18","KULGAM",IF(LEFT(I937,4)="JK22","SHOPIAN",IF(LEFT(I937,4)="JK02","JAMMU",IF(LEFT(I937,4)="JK09","KUPWARA",IF(LEFT(I937,4)="JK15","BANDIPORA",IF(LEFT(I937,4)="JK17","KISHTWAR",IF(LEFT(I937,4)="LA01","KARGIL",IF(LEFT(I937,1)="T","TEMP","NEW"))))))))))))))))))</f>
        <v>SRINAGAR</v>
      </c>
      <c r="I937" s="21" t="s">
        <v>11788</v>
      </c>
      <c r="J937" s="22">
        <v>46210</v>
      </c>
      <c r="K937" s="21">
        <v>8491929247</v>
      </c>
      <c r="L937" s="21" t="s">
        <v>18</v>
      </c>
      <c r="M937" s="23" t="s">
        <v>11791</v>
      </c>
      <c r="N937" s="22">
        <v>46210</v>
      </c>
      <c r="O937" s="21" t="s">
        <v>23</v>
      </c>
      <c r="P937" s="22">
        <v>46210</v>
      </c>
      <c r="Q937" s="21" t="s">
        <v>6454</v>
      </c>
      <c r="R937" s="21"/>
    </row>
    <row r="938" spans="1:18" x14ac:dyDescent="0.25">
      <c r="A938" s="21">
        <f t="shared" si="33"/>
        <v>937</v>
      </c>
      <c r="B938" s="21"/>
      <c r="C938" s="21"/>
      <c r="D938" s="21"/>
      <c r="E938" s="21"/>
      <c r="F938" s="21"/>
      <c r="G938" s="21"/>
      <c r="H938" s="21" t="str">
        <f t="shared" si="39"/>
        <v>NEW</v>
      </c>
      <c r="I938" s="21"/>
      <c r="J938" s="22"/>
      <c r="K938" s="21"/>
      <c r="L938" s="21"/>
      <c r="M938" s="23"/>
      <c r="N938" s="22"/>
      <c r="O938" s="21"/>
      <c r="P938" s="24"/>
      <c r="Q938" s="21"/>
      <c r="R938" s="21"/>
    </row>
    <row r="939" spans="1:18" x14ac:dyDescent="0.25">
      <c r="A939" s="21">
        <f t="shared" si="33"/>
        <v>938</v>
      </c>
      <c r="B939" s="21"/>
      <c r="C939" s="21"/>
      <c r="D939" s="21"/>
      <c r="E939" s="21"/>
      <c r="F939" s="21"/>
      <c r="G939" s="21"/>
      <c r="H939" s="21" t="str">
        <f t="shared" si="39"/>
        <v>NEW</v>
      </c>
      <c r="I939" s="21"/>
      <c r="J939" s="22"/>
      <c r="K939" s="21"/>
      <c r="L939" s="21"/>
      <c r="M939" s="23"/>
      <c r="N939" s="22"/>
      <c r="O939" s="21"/>
      <c r="P939" s="24"/>
      <c r="Q939" s="21"/>
      <c r="R939" s="21"/>
    </row>
    <row r="940" spans="1:18" x14ac:dyDescent="0.25">
      <c r="A940" s="21">
        <f t="shared" si="33"/>
        <v>939</v>
      </c>
      <c r="B940" s="21"/>
      <c r="C940" s="21"/>
      <c r="D940" s="21"/>
      <c r="E940" s="21"/>
      <c r="F940" s="21"/>
      <c r="G940" s="21"/>
      <c r="H940" s="21" t="str">
        <f t="shared" si="39"/>
        <v>NEW</v>
      </c>
      <c r="I940" s="21"/>
      <c r="J940" s="22"/>
      <c r="K940" s="21"/>
      <c r="L940" s="21"/>
      <c r="M940" s="23"/>
      <c r="N940" s="22"/>
      <c r="O940" s="21"/>
      <c r="P940" s="24"/>
      <c r="Q940" s="21"/>
      <c r="R940" s="21"/>
    </row>
    <row r="941" spans="1:18" x14ac:dyDescent="0.25">
      <c r="A941" s="21">
        <f t="shared" si="33"/>
        <v>940</v>
      </c>
      <c r="B941" s="21"/>
      <c r="C941" s="21"/>
      <c r="D941" s="21"/>
      <c r="E941" s="21"/>
      <c r="F941" s="21"/>
      <c r="G941" s="21"/>
      <c r="H941" s="21" t="str">
        <f t="shared" si="39"/>
        <v>NEW</v>
      </c>
      <c r="I941" s="21"/>
      <c r="J941" s="22"/>
      <c r="K941" s="21"/>
      <c r="L941" s="21"/>
      <c r="M941" s="23"/>
      <c r="N941" s="22"/>
      <c r="O941" s="21"/>
      <c r="P941" s="24"/>
      <c r="Q941" s="21"/>
      <c r="R941" s="21"/>
    </row>
    <row r="942" spans="1:18" x14ac:dyDescent="0.25">
      <c r="A942" s="21">
        <f t="shared" si="33"/>
        <v>941</v>
      </c>
      <c r="B942" s="21"/>
      <c r="C942" s="21"/>
      <c r="D942" s="21"/>
      <c r="E942" s="21"/>
      <c r="F942" s="21"/>
      <c r="G942" s="21"/>
      <c r="H942" s="21" t="str">
        <f t="shared" si="39"/>
        <v>NEW</v>
      </c>
      <c r="I942" s="21"/>
      <c r="J942" s="22"/>
      <c r="K942" s="21"/>
      <c r="L942" s="21"/>
      <c r="M942" s="23"/>
      <c r="N942" s="22"/>
      <c r="O942" s="21"/>
      <c r="P942" s="24"/>
      <c r="Q942" s="21"/>
      <c r="R942" s="21"/>
    </row>
    <row r="943" spans="1:18" x14ac:dyDescent="0.25">
      <c r="A943" s="21">
        <f t="shared" si="33"/>
        <v>942</v>
      </c>
      <c r="B943" s="21"/>
      <c r="C943" s="21"/>
      <c r="D943" s="21"/>
      <c r="E943" s="21"/>
      <c r="F943" s="21"/>
      <c r="G943" s="21"/>
      <c r="H943" s="21" t="str">
        <f t="shared" si="39"/>
        <v>NEW</v>
      </c>
      <c r="I943" s="21"/>
      <c r="J943" s="22"/>
      <c r="K943" s="21"/>
      <c r="L943" s="21"/>
      <c r="M943" s="23"/>
      <c r="N943" s="22"/>
      <c r="O943" s="21"/>
      <c r="P943" s="24"/>
      <c r="Q943" s="21"/>
      <c r="R943" s="21"/>
    </row>
    <row r="944" spans="1:18" x14ac:dyDescent="0.25">
      <c r="A944" s="21">
        <f t="shared" si="33"/>
        <v>943</v>
      </c>
      <c r="B944" s="21"/>
      <c r="C944" s="21"/>
      <c r="D944" s="21"/>
      <c r="E944" s="21"/>
      <c r="F944" s="21"/>
      <c r="G944" s="21"/>
      <c r="H944" s="21" t="str">
        <f t="shared" si="39"/>
        <v>NEW</v>
      </c>
      <c r="I944" s="21"/>
      <c r="J944" s="22"/>
      <c r="K944" s="21"/>
      <c r="L944" s="21"/>
      <c r="M944" s="23"/>
      <c r="N944" s="22"/>
      <c r="O944" s="21"/>
      <c r="P944" s="24"/>
      <c r="Q944" s="21"/>
      <c r="R944" s="21"/>
    </row>
    <row r="945" spans="1:13" ht="15.75" x14ac:dyDescent="0.25">
      <c r="A945" s="21"/>
      <c r="B945" s="21"/>
      <c r="C945" s="21"/>
      <c r="D945" s="21"/>
      <c r="E945" s="21"/>
      <c r="F945" s="21"/>
      <c r="G945" s="21"/>
      <c r="H945" s="21"/>
      <c r="I945" s="21"/>
      <c r="J945" s="12"/>
      <c r="K945" s="21"/>
      <c r="L945" s="21"/>
      <c r="M945" t="s">
        <v>43</v>
      </c>
    </row>
    <row r="946" spans="1:13" ht="15.75" x14ac:dyDescent="0.25">
      <c r="A946" s="21"/>
      <c r="B946" s="21"/>
      <c r="C946" s="21"/>
      <c r="D946" s="21"/>
      <c r="E946" s="21"/>
      <c r="F946" s="21"/>
      <c r="G946" s="21"/>
      <c r="H946" s="1"/>
      <c r="I946" s="13"/>
      <c r="K946" s="21"/>
      <c r="L946" s="21"/>
    </row>
    <row r="947" spans="1:13" x14ac:dyDescent="0.25">
      <c r="K947" s="21"/>
    </row>
    <row r="948" spans="1:13" x14ac:dyDescent="0.25">
      <c r="K948" s="21"/>
    </row>
    <row r="949" spans="1:13" x14ac:dyDescent="0.25">
      <c r="K949" s="21"/>
    </row>
    <row r="950" spans="1:13" x14ac:dyDescent="0.25">
      <c r="K950" s="21"/>
    </row>
    <row r="951" spans="1:13" x14ac:dyDescent="0.25">
      <c r="K951" s="21"/>
    </row>
    <row r="953" spans="1:13" x14ac:dyDescent="0.25">
      <c r="K953" s="21"/>
    </row>
    <row r="954" spans="1:13" x14ac:dyDescent="0.25">
      <c r="K954" s="21"/>
    </row>
    <row r="955" spans="1:13" x14ac:dyDescent="0.25">
      <c r="K955" s="21"/>
    </row>
    <row r="956" spans="1:13" x14ac:dyDescent="0.25">
      <c r="K956" s="21"/>
    </row>
    <row r="957" spans="1:13" x14ac:dyDescent="0.25">
      <c r="K957" s="21"/>
    </row>
    <row r="958" spans="1:13" x14ac:dyDescent="0.25">
      <c r="K958" s="21"/>
    </row>
    <row r="959" spans="1:13" x14ac:dyDescent="0.25">
      <c r="K959" s="21"/>
    </row>
    <row r="960" spans="1:13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x14ac:dyDescent="0.25">
      <c r="K1010" s="21"/>
    </row>
    <row r="1011" spans="11:11" x14ac:dyDescent="0.25">
      <c r="K1011" s="21"/>
    </row>
    <row r="1012" spans="11:11" x14ac:dyDescent="0.25">
      <c r="K1012" s="21"/>
    </row>
    <row r="1013" spans="11:11" x14ac:dyDescent="0.25">
      <c r="K1013" s="21"/>
    </row>
    <row r="1014" spans="11:11" x14ac:dyDescent="0.25">
      <c r="K1014" s="21"/>
    </row>
    <row r="1015" spans="11:11" x14ac:dyDescent="0.25">
      <c r="K1015" s="21"/>
    </row>
    <row r="1016" spans="11:11" x14ac:dyDescent="0.25">
      <c r="K1016" s="21"/>
    </row>
    <row r="1017" spans="11:11" x14ac:dyDescent="0.25">
      <c r="K1017" s="21"/>
    </row>
    <row r="1018" spans="11:11" x14ac:dyDescent="0.25">
      <c r="K1018" s="21"/>
    </row>
    <row r="1019" spans="11:11" x14ac:dyDescent="0.25">
      <c r="K1019" s="21"/>
    </row>
    <row r="1020" spans="11:11" x14ac:dyDescent="0.25">
      <c r="K1020" s="21"/>
    </row>
    <row r="1021" spans="11:11" x14ac:dyDescent="0.25">
      <c r="K1021" s="21"/>
    </row>
    <row r="1022" spans="11:11" x14ac:dyDescent="0.25">
      <c r="K1022" s="21"/>
    </row>
    <row r="1023" spans="11:11" x14ac:dyDescent="0.25">
      <c r="K1023" s="21"/>
    </row>
    <row r="1024" spans="11:11" x14ac:dyDescent="0.25">
      <c r="K1024" s="21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x14ac:dyDescent="0.25">
      <c r="K1074" s="20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B885:G893 J886:R886 J887 G888:J891 M890:R894 K891:K906 B892:J892 I892:I893 B893:H893 J893:J904 B894:I897 L895:R906 B896:G906 H898:I899 I899:I901 H900:H901 H902:I904 H905:J906 H907:R907 A907:G915 G908:H908 J908:J909 M908:N909 O908:R910 H909:H910 J910:N910 H911:K911 K911:R924 J912:K912 H912:I915 J913:J917 A916:I917 H918:J918 G919:K919 H920:J920 I920:I928 H921 J921 H922:K923 G924:H924 J924:K927 H925:H928 J928 H929:J931 I930:I933 G932:H932 J932:J933 H933 H934:J935 L945:L946 H936:K936 A918:A937 A938:R944 G937:J937 K928:K937 B915:G938 L925:R937 L882:R889 P915:P938">
    <cfRule type="expression" dxfId="25" priority="31">
      <formula>CELL("row")=ROW()</formula>
    </cfRule>
  </conditionalFormatting>
  <conditionalFormatting sqref="B257:G290 B291:B300 C291:G301">
    <cfRule type="expression" dxfId="24" priority="29">
      <formula>CELL("row")=ROW()</formula>
    </cfRule>
  </conditionalFormatting>
  <conditionalFormatting sqref="B772:G772">
    <cfRule type="expression" dxfId="23" priority="12">
      <formula>CELL("row")=ROW()</formula>
    </cfRule>
  </conditionalFormatting>
  <conditionalFormatting sqref="F398">
    <cfRule type="expression" dxfId="22" priority="24">
      <formula>CELL("row")=ROW()</formula>
    </cfRule>
  </conditionalFormatting>
  <conditionalFormatting sqref="F420">
    <cfRule type="expression" dxfId="21" priority="23">
      <formula>CELL("row")=ROW()</formula>
    </cfRule>
  </conditionalFormatting>
  <conditionalFormatting sqref="F326:G326">
    <cfRule type="expression" dxfId="20" priority="26">
      <formula>CELL("row")=ROW()</formula>
    </cfRule>
  </conditionalFormatting>
  <conditionalFormatting sqref="G266">
    <cfRule type="expression" dxfId="19" priority="28">
      <formula>CELL("row")=ROW()</formula>
    </cfRule>
  </conditionalFormatting>
  <conditionalFormatting sqref="I558">
    <cfRule type="expression" dxfId="18" priority="19">
      <formula>CELL("row")=ROW()</formula>
    </cfRule>
  </conditionalFormatting>
  <conditionalFormatting sqref="I908:I910">
    <cfRule type="expression" dxfId="17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45:I945 K945:K951 A946:G946 K953:K1024">
    <cfRule type="expression" dxfId="16" priority="17">
      <formula>CELL("row")=ROW()</formula>
    </cfRule>
  </conditionalFormatting>
  <conditionalFormatting sqref="K672:K697 K698:L700 L701">
    <cfRule type="expression" dxfId="15" priority="16">
      <formula>CELL("row")=ROW()</formula>
    </cfRule>
  </conditionalFormatting>
  <conditionalFormatting sqref="K882:K889 K890:L892 L893:L894 K908:L910">
    <cfRule type="expression" dxfId="14" priority="8">
      <formula>CELL("row")=ROW()</formula>
    </cfRule>
  </conditionalFormatting>
  <conditionalFormatting sqref="L532:L535">
    <cfRule type="expression" dxfId="13" priority="21">
      <formula>CELL("row")=ROW()</formula>
    </cfRule>
  </conditionalFormatting>
  <conditionalFormatting sqref="M718 M730 M733 M738:M739">
    <cfRule type="expression" dxfId="12" priority="11">
      <formula>CELL("row")=ROW()</formula>
    </cfRule>
  </conditionalFormatting>
  <conditionalFormatting sqref="M763:M764 M774">
    <cfRule type="expression" dxfId="11" priority="10">
      <formula>CELL("row")=ROW()</formula>
    </cfRule>
  </conditionalFormatting>
  <conditionalFormatting sqref="M823:N823">
    <cfRule type="expression" dxfId="10" priority="4">
      <formula>CELL("row")=ROW()</formula>
    </cfRule>
  </conditionalFormatting>
  <conditionalFormatting sqref="M876:N876">
    <cfRule type="expression" dxfId="9" priority="3">
      <formula>CELL("row")=ROW()</formula>
    </cfRule>
  </conditionalFormatting>
  <conditionalFormatting sqref="M945:O946">
    <cfRule type="expression" dxfId="8" priority="40">
      <formula>ROW(O93)=HighlightRow</formula>
    </cfRule>
  </conditionalFormatting>
  <conditionalFormatting sqref="N698">
    <cfRule type="expression" dxfId="7" priority="14">
      <formula>CELL("row")=ROW()</formula>
    </cfRule>
  </conditionalFormatting>
  <conditionalFormatting sqref="P945:Q946">
    <cfRule type="expression" dxfId="6" priority="44">
      <formula>ROW(S93)=HighlightRow</formula>
    </cfRule>
  </conditionalFormatting>
  <conditionalFormatting sqref="S105:XFD105">
    <cfRule type="expression" dxfId="5" priority="45">
      <formula>ROW(T94)=HighlightRow</formula>
    </cfRule>
  </conditionalFormatting>
  <conditionalFormatting sqref="S106:XFD114">
    <cfRule type="expression" dxfId="4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38"/>
  <sheetViews>
    <sheetView topLeftCell="A614" zoomScaleNormal="100" workbookViewId="0">
      <selection activeCell="E638" sqref="E63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38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11556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11569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11570</v>
      </c>
      <c r="C600" s="21">
        <v>7006246665</v>
      </c>
      <c r="D600" s="21" t="s">
        <v>11571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11583</v>
      </c>
      <c r="E601" s="21" t="s">
        <v>11565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11575</v>
      </c>
      <c r="C602" s="21">
        <v>9622773989</v>
      </c>
      <c r="D602" s="21" t="s">
        <v>11584</v>
      </c>
      <c r="E602" s="21" t="s">
        <v>11580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11589</v>
      </c>
      <c r="C603" s="21">
        <v>6006567480</v>
      </c>
      <c r="D603" s="21" t="s">
        <v>11590</v>
      </c>
      <c r="E603" s="21" t="s">
        <v>11591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11578</v>
      </c>
      <c r="C604" s="21">
        <v>7006560058</v>
      </c>
      <c r="D604" s="21" t="s">
        <v>11592</v>
      </c>
      <c r="E604" s="21" t="s">
        <v>11581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11605</v>
      </c>
      <c r="C605" s="21">
        <v>8082780835</v>
      </c>
      <c r="D605" s="21" t="s">
        <v>11616</v>
      </c>
      <c r="E605" s="21" t="s">
        <v>11607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11600</v>
      </c>
      <c r="C606" s="21">
        <v>7006438844</v>
      </c>
      <c r="D606" s="21" t="s">
        <v>11617</v>
      </c>
      <c r="E606" s="21" t="s">
        <v>11608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11596</v>
      </c>
      <c r="C607" s="21">
        <v>9086419987</v>
      </c>
      <c r="D607" s="21" t="s">
        <v>11618</v>
      </c>
      <c r="E607" s="21" t="s">
        <v>11597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11619</v>
      </c>
      <c r="E608" s="12" t="s">
        <v>11615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11620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11621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11682</v>
      </c>
      <c r="C611" s="12">
        <v>7006713773</v>
      </c>
      <c r="D611" s="12" t="s">
        <v>11656</v>
      </c>
      <c r="E611" s="12" t="s">
        <v>11645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11626</v>
      </c>
      <c r="C612" s="12">
        <v>9596170967</v>
      </c>
      <c r="D612" s="12" t="s">
        <v>11659</v>
      </c>
      <c r="E612" s="12" t="s">
        <v>11643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11625</v>
      </c>
      <c r="C613" s="12">
        <v>7780830410</v>
      </c>
      <c r="D613" s="12" t="s">
        <v>11660</v>
      </c>
      <c r="E613" s="12" t="s">
        <v>11644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11662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11664</v>
      </c>
      <c r="C615" s="12">
        <v>7006125015</v>
      </c>
      <c r="D615" s="12" t="s">
        <v>11663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11642</v>
      </c>
      <c r="C616" s="12">
        <v>8899111905</v>
      </c>
      <c r="D616" s="12" t="s">
        <v>11665</v>
      </c>
      <c r="E616" s="12" t="s">
        <v>11646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11669</v>
      </c>
      <c r="C617" s="12">
        <v>6006239704</v>
      </c>
      <c r="D617" s="12" t="s">
        <v>11676</v>
      </c>
      <c r="E617" s="12" t="s">
        <v>11670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11651</v>
      </c>
      <c r="C618" s="12">
        <v>7889749147</v>
      </c>
      <c r="D618" s="12" t="s">
        <v>11689</v>
      </c>
      <c r="E618" s="12" t="s">
        <v>11658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11686</v>
      </c>
      <c r="C619" s="12">
        <v>9906667265</v>
      </c>
      <c r="D619" s="12" t="s">
        <v>11690</v>
      </c>
      <c r="E619" s="12" t="s">
        <v>11687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11691</v>
      </c>
      <c r="C620" s="12">
        <v>6005335080</v>
      </c>
      <c r="D620" s="12" t="s">
        <v>11692</v>
      </c>
      <c r="E620" s="12" t="s">
        <v>11609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11679</v>
      </c>
      <c r="C621" s="12">
        <v>9596080368</v>
      </c>
      <c r="D621" s="12" t="s">
        <v>11713</v>
      </c>
      <c r="E621" s="12" t="s">
        <v>11680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11714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11715</v>
      </c>
      <c r="C623" s="12">
        <v>6005807002</v>
      </c>
      <c r="D623" s="12" t="s">
        <v>11716</v>
      </c>
      <c r="E623" s="12" t="s">
        <v>11699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11717</v>
      </c>
      <c r="C624" s="12">
        <v>7006247464</v>
      </c>
      <c r="D624" s="12" t="s">
        <v>11718</v>
      </c>
      <c r="E624" s="12" t="s">
        <v>11719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11730</v>
      </c>
      <c r="C625" s="12">
        <v>9086494459</v>
      </c>
      <c r="D625" s="12" t="s">
        <v>11744</v>
      </c>
      <c r="E625" s="12" t="s">
        <v>11733</v>
      </c>
      <c r="F625" s="14">
        <v>46207</v>
      </c>
      <c r="G625" s="14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11727</v>
      </c>
      <c r="C626" s="12">
        <v>6006424311</v>
      </c>
      <c r="D626" s="12" t="s">
        <v>11745</v>
      </c>
      <c r="E626" s="12" t="s">
        <v>11734</v>
      </c>
      <c r="F626" s="14">
        <v>46207</v>
      </c>
      <c r="G626" s="14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11612</v>
      </c>
      <c r="C627" s="12">
        <v>9599281803</v>
      </c>
      <c r="D627" s="12" t="s">
        <v>11746</v>
      </c>
      <c r="E627" s="12" t="s">
        <v>11630</v>
      </c>
      <c r="F627" s="14">
        <v>46207</v>
      </c>
      <c r="G627" s="14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11738</v>
      </c>
      <c r="C628" s="12">
        <v>7006421617</v>
      </c>
      <c r="D628" s="12" t="s">
        <v>11749</v>
      </c>
      <c r="E628" s="12" t="s">
        <v>11747</v>
      </c>
      <c r="F628" s="14">
        <v>46207</v>
      </c>
      <c r="G628" s="14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11754</v>
      </c>
      <c r="C629" s="12">
        <v>7006171701</v>
      </c>
      <c r="D629" s="12" t="s">
        <v>11755</v>
      </c>
      <c r="E629" s="12" t="s">
        <v>11720</v>
      </c>
      <c r="F629" s="14">
        <v>46209</v>
      </c>
      <c r="G629" s="14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11782</v>
      </c>
      <c r="E630" s="12" t="s">
        <v>11769</v>
      </c>
      <c r="F630" s="14">
        <v>46210</v>
      </c>
      <c r="G630" s="14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11783</v>
      </c>
      <c r="E631" s="12" t="s">
        <v>11768</v>
      </c>
      <c r="F631" s="14">
        <v>46210</v>
      </c>
      <c r="G631" s="14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11752</v>
      </c>
      <c r="C632" s="12">
        <v>9682595915</v>
      </c>
      <c r="D632" s="12" t="s">
        <v>11789</v>
      </c>
      <c r="E632" s="12" t="s">
        <v>11756</v>
      </c>
      <c r="F632" s="14">
        <v>46210</v>
      </c>
      <c r="G632" s="14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11787</v>
      </c>
      <c r="C633" s="12">
        <v>9596033371</v>
      </c>
      <c r="D633" s="12" t="s">
        <v>11790</v>
      </c>
      <c r="E633" s="12" t="s">
        <v>11788</v>
      </c>
      <c r="F633" s="14">
        <v>46210</v>
      </c>
      <c r="G633" s="14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/>
      <c r="C634" s="12"/>
      <c r="D634" s="12"/>
      <c r="E634" s="12"/>
      <c r="F634" s="14"/>
      <c r="G634" s="14"/>
      <c r="H634" s="12"/>
    </row>
    <row r="635" spans="1:8" ht="15.75" x14ac:dyDescent="0.25">
      <c r="A635" s="12">
        <f t="shared" si="9"/>
        <v>633</v>
      </c>
      <c r="B635" s="12"/>
      <c r="C635" s="12"/>
      <c r="D635" s="12"/>
      <c r="E635" s="12"/>
      <c r="F635" s="14"/>
      <c r="G635" s="14"/>
      <c r="H635" s="12"/>
    </row>
    <row r="636" spans="1:8" ht="15.75" x14ac:dyDescent="0.25">
      <c r="A636" s="12">
        <f t="shared" si="9"/>
        <v>634</v>
      </c>
      <c r="B636" s="12"/>
      <c r="C636" s="12"/>
      <c r="D636" s="12"/>
      <c r="E636" s="12"/>
      <c r="F636" s="14"/>
      <c r="G636" s="14"/>
      <c r="H636" s="12"/>
    </row>
    <row r="637" spans="1:8" ht="15.75" x14ac:dyDescent="0.25">
      <c r="A637" s="12">
        <f t="shared" si="9"/>
        <v>635</v>
      </c>
      <c r="B637" s="12"/>
      <c r="C637" s="12"/>
      <c r="D637" s="12"/>
      <c r="E637" s="12"/>
      <c r="F637" s="14"/>
      <c r="G637" s="14"/>
      <c r="H637" s="12"/>
    </row>
    <row r="638" spans="1:8" ht="15.75" x14ac:dyDescent="0.25">
      <c r="A638" s="12">
        <f t="shared" si="9"/>
        <v>636</v>
      </c>
      <c r="B638" s="12"/>
      <c r="C638" s="12"/>
      <c r="D638" s="12"/>
      <c r="E638" s="12"/>
      <c r="F638" s="14"/>
      <c r="G638" s="14"/>
      <c r="H638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3" priority="6">
      <formula>CELL("row")=ROW()</formula>
    </cfRule>
  </conditionalFormatting>
  <conditionalFormatting sqref="B612:E630">
    <cfRule type="expression" dxfId="2" priority="3">
      <formula>CELL("row")=ROW()</formula>
    </cfRule>
  </conditionalFormatting>
  <conditionalFormatting sqref="B631:E634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2026-07-07T12:00:41Z</dcterms:modified>
</cp:coreProperties>
</file>