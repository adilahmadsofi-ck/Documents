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81EB79F-D11C-4944-A847-57771408211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9" i="7" l="1"/>
  <c r="A168" i="7"/>
  <c r="A177" i="7"/>
  <c r="A178" i="7"/>
  <c r="A179" i="7"/>
  <c r="A180" i="7"/>
  <c r="H375" i="4"/>
  <c r="H376" i="4"/>
  <c r="H377" i="4"/>
  <c r="H378" i="4"/>
  <c r="H379" i="4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70" i="7"/>
  <c r="A171" i="7"/>
  <c r="A172" i="7"/>
  <c r="A173" i="7"/>
  <c r="A174" i="7"/>
  <c r="A175" i="7"/>
  <c r="A176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H358" i="4"/>
  <c r="H359" i="4"/>
  <c r="H333" i="4"/>
  <c r="H326" i="4"/>
  <c r="H327" i="4"/>
  <c r="H328" i="4"/>
  <c r="H357" i="4"/>
  <c r="H330" i="4"/>
  <c r="H331" i="4"/>
  <c r="H332" i="4"/>
  <c r="H334" i="4"/>
  <c r="H201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29" i="4"/>
  <c r="H351" i="4"/>
  <c r="H352" i="4"/>
  <c r="H353" i="4"/>
  <c r="H335" i="4"/>
  <c r="H355" i="4"/>
  <c r="H356" i="4"/>
  <c r="H350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96" i="4"/>
  <c r="H302" i="4"/>
  <c r="H303" i="4"/>
  <c r="H221" i="4"/>
  <c r="H305" i="4"/>
  <c r="H306" i="4"/>
  <c r="H307" i="4"/>
  <c r="H308" i="4"/>
  <c r="H309" i="4"/>
  <c r="H310" i="4"/>
  <c r="H311" i="4"/>
  <c r="A96" i="4"/>
  <c r="A302" i="4"/>
  <c r="A303" i="4"/>
  <c r="A221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304" i="4"/>
  <c r="A287" i="4"/>
  <c r="A288" i="4"/>
  <c r="A299" i="4"/>
  <c r="A290" i="4"/>
  <c r="A291" i="4"/>
  <c r="A292" i="4"/>
  <c r="A293" i="4"/>
  <c r="A294" i="4"/>
  <c r="A295" i="4"/>
  <c r="A304" i="4"/>
  <c r="H271" i="4"/>
  <c r="H284" i="4"/>
  <c r="H285" i="4"/>
  <c r="H286" i="4"/>
  <c r="A271" i="4"/>
  <c r="A284" i="4"/>
  <c r="A285" i="4"/>
  <c r="A286" i="4"/>
  <c r="H354" i="4"/>
  <c r="H276" i="4"/>
  <c r="H267" i="4"/>
  <c r="H268" i="4"/>
  <c r="H259" i="4"/>
  <c r="H269" i="4"/>
  <c r="H270" i="4"/>
  <c r="H183" i="4"/>
  <c r="H272" i="4"/>
  <c r="H184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301" i="4"/>
  <c r="H264" i="4"/>
  <c r="H280" i="4"/>
  <c r="H266" i="4"/>
  <c r="A256" i="4"/>
  <c r="A257" i="4"/>
  <c r="A258" i="4"/>
  <c r="A260" i="4"/>
  <c r="A261" i="4"/>
  <c r="A262" i="4"/>
  <c r="A301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165" i="4"/>
  <c r="H132" i="4"/>
  <c r="H220" i="4"/>
  <c r="H187" i="4"/>
  <c r="H218" i="4"/>
  <c r="H217" i="4"/>
  <c r="H214" i="4"/>
  <c r="H215" i="4"/>
  <c r="H216" i="4"/>
  <c r="A216" i="4"/>
  <c r="A217" i="4"/>
  <c r="A218" i="4"/>
  <c r="A187" i="4"/>
  <c r="A220" i="4"/>
  <c r="A165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219" i="4"/>
  <c r="H198" i="4"/>
  <c r="H199" i="4"/>
  <c r="H200" i="4"/>
  <c r="H159" i="4"/>
  <c r="H202" i="4"/>
  <c r="H194" i="4"/>
  <c r="H193" i="4"/>
  <c r="H192" i="4"/>
  <c r="H191" i="4"/>
  <c r="H190" i="4"/>
  <c r="H156" i="4"/>
  <c r="H157" i="4"/>
  <c r="H158" i="4"/>
  <c r="H197" i="4"/>
  <c r="H160" i="4"/>
  <c r="H161" i="4"/>
  <c r="H162" i="4"/>
  <c r="H163" i="4"/>
  <c r="H164" i="4"/>
  <c r="H10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263" i="4"/>
  <c r="H185" i="4"/>
  <c r="H186" i="4"/>
  <c r="H296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75" i="4"/>
  <c r="H97" i="4"/>
  <c r="H98" i="4"/>
  <c r="H99" i="4"/>
  <c r="H100" i="4"/>
  <c r="H101" i="4"/>
  <c r="H102" i="4"/>
  <c r="H103" i="4"/>
  <c r="H104" i="4"/>
  <c r="H273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161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00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<sst xmlns="http://schemas.openxmlformats.org/spreadsheetml/2006/main" count="21075" uniqueCount="8229">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</sst>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22" fillId="0" borderId="0" xfId="0" applyFon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9" totalsRowShown="0" headerRowDxfId="87" dataDxfId="86">
  <autoFilter ref="A1:R379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0" totalsRowShown="0" headerRowDxfId="42" dataDxfId="41">
  <autoFilter ref="A2:H180" xr:uid="{B21CDF53-EB04-406A-8D52-FCF5CCB609E9}"/>
  <sortState xmlns:xlrd2="http://schemas.microsoft.com/office/spreadsheetml/2017/richdata2" ref="A3:H180">
    <sortCondition ref="D2:D180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7"/>
  <sheetViews>
    <sheetView tabSelected="1" topLeftCell="D333" zoomScaleNormal="100" workbookViewId="0">
      <selection activeCell="I372" sqref="I37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95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5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ref="A96:A159" si="5"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 t="shared" ref="H96:H130" si="6">IF(LEFT(I96,4)="JK13","PULWAMA",IF(LEFT(I96,4)="JK01","SRINAGAR",IF(LEFT(I96,4)="JK04","BUDGAM",IF(LEFT(I96,4)="JK03","ANANTNAG",IF(LEFT(I96,4)="JK05","BARAMULLA",IF(LEFT(I96,4)="25BH","BHARAT",IF(LEFT(I96,4)="JK12","POONCH",IF(LEFT(I96,4)="JK18","KULGAM",IF(LEFT(I96,4)="JK22","SHOPIAN",IF(LEFT(I96,4)="T102","TEMP",IF(LEFT(I96,4)="JK09","KUPWARA",IF(LEFT(I96,4)="JK15","BANDIPORA",IF(LEFT(I96,4)="T112","KARGIL","NEW"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 t="shared" si="5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6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5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6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5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6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5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6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5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6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5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6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5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6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5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6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5"/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 t="shared" si="6"/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si="5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6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6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6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6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6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6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6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6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6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6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6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6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6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6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6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6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6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6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6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6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6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6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6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6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6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7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7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7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7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7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7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7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7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7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7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5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7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7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7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7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7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7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7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7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7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7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7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7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5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7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7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7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7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7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 t="shared" si="7"/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 t="shared" ref="A160:A223" si="8"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7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8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7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8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7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8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7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8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95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8"/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 t="shared" si="9"/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 t="shared" si="8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8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8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8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8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8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8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8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8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8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8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8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8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8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8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8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8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8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8"/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 t="shared" si="9"/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8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8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8"/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 t="shared" si="9"/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8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8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8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8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8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8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 t="shared" si="10"/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 t="shared" si="10"/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 t="shared" si="10"/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 t="shared" si="10"/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8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ref="A224:A287" si="11">ROW()-1</f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1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1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1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1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1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1"/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 t="shared" si="13"/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11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1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1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1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1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1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1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1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1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1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3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11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1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3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1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1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1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1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1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1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1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1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1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1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1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1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ref="A288:A351" si="14"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319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 t="shared" si="15"/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:H331" si="16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4"/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 t="shared" si="16"/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6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6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4"/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 t="shared" si="16"/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6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6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6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4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6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6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4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6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4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6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4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si="16"/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4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6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4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6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4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6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4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6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4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6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4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si="16"/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4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16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4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16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4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16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4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16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4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16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4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16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4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16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4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si="16"/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4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16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4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16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4"/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 t="shared" si="16"/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4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16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4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16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4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ref="H332:H363" si="17">IF(LEFT(I332,4)="JK13","PULWAMA",IF(LEFT(I332,4)="JK01","SRINAGAR",IF(LEFT(I332,4)="JK04","BUDGAM",IF(LEFT(I332,4)="JK03","ANANTNAG",IF(LEFT(I332,4)="JK05","BARAMULLA",IF(LEFT(I332,4)="25BH","BHARAT",IF(LEFT(I332,4)="JK12","POONCH",IF(LEFT(I332,4)="JK18","KULGAM",IF(LEFT(I332,4)="JK22","SHOPIAN",IF(LEFT(I332,4)="T102","TEMP",IF(LEFT(I332,4)="JK09","KUPWARA",IF(LEFT(I332,4)="JK15","BANDIPORA",IF(LEFT(I332,4)="T112","KARGIL","NEW"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4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17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4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17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4"/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 t="shared" si="17"/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4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17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4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17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4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17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4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17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4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17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4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17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4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17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4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17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4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17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4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17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4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17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4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17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4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17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4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17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4"/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 t="shared" si="17"/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 t="shared" si="14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17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ref="A352:A357" si="18"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17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8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17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8"/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 t="shared" si="17"/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8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17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8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17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8"/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 t="shared" si="17"/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ref="A358:A363" si="19"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58:H359" si="20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9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0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9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1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9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1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9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1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9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1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9" si="22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1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2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1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2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1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22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1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22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21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22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21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22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21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 t="shared" si="22"/>
        <v>370</v>
      </c>
      <c r="B371" s="47" t="s">
        <v>8192</v>
      </c>
      <c r="C371" s="47" t="s">
        <v>8195</v>
      </c>
      <c r="D371" s="47" t="s">
        <v>8196</v>
      </c>
      <c r="E371" s="47" t="s">
        <v>8197</v>
      </c>
      <c r="F371" s="47" t="s">
        <v>5</v>
      </c>
      <c r="G371" s="47" t="s">
        <v>181</v>
      </c>
      <c r="H371" s="47" t="str">
        <f t="shared" si="21"/>
        <v>SHOPIAN</v>
      </c>
      <c r="I371" s="47" t="s">
        <v>8207</v>
      </c>
      <c r="J371" s="48">
        <v>46030</v>
      </c>
      <c r="K371" s="47">
        <v>9906656754</v>
      </c>
      <c r="L371" s="47" t="s">
        <v>6451</v>
      </c>
      <c r="M371" s="49"/>
      <c r="N371" s="48"/>
      <c r="O371" s="47"/>
      <c r="P371" s="50"/>
      <c r="Q371" s="47"/>
      <c r="R371" s="47" t="s">
        <v>7177</v>
      </c>
    </row>
    <row r="372" spans="1:18" x14ac:dyDescent="0.25">
      <c r="A372" s="47">
        <f t="shared" si="22"/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si="21"/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2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21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2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21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22"/>
        <v>374</v>
      </c>
      <c r="B375" s="47"/>
      <c r="C375" s="47"/>
      <c r="D375" s="47"/>
      <c r="E375" s="47"/>
      <c r="F375" s="47"/>
      <c r="G375" s="47"/>
      <c r="H375" s="47" t="str">
        <f t="shared" ref="H375:H379" si="23">IF(LEFT(I375,4)="JK13","PULWAMA",IF(LEFT(I375,4)="JK01","SRINAGAR",IF(LEFT(I375,4)="JK04","BUDGAM",IF(LEFT(I375,4)="JK03","ANANTNAG",IF(LEFT(I375,4)="JK05","BARAMULLA",IF(LEFT(I375,4)="25BH","BHARAT",IF(LEFT(I375,4)="JK12","POONCH",IF(LEFT(I375,4)="JK18","KULGAM",IF(LEFT(I375,4)="JK22","SHOPIAN",IF(LEFT(I375,4)="T102","TEMP",IF(LEFT(I375,4)="JK09","KUPWARA",IF(LEFT(I375,4)="JK15","BANDIPORA",IF(LEFT(I375,4)="T112","KARGIL","NEW")))))))))))))</f>
        <v>NEW</v>
      </c>
      <c r="I375" s="47"/>
      <c r="J375" s="48"/>
      <c r="K375" s="47"/>
      <c r="L375" s="47"/>
      <c r="M375" s="49"/>
      <c r="N375" s="48"/>
      <c r="O375" s="47"/>
      <c r="P375" s="50"/>
      <c r="Q375" s="47"/>
      <c r="R375" s="47"/>
    </row>
    <row r="376" spans="1:18" x14ac:dyDescent="0.25">
      <c r="A376" s="47">
        <f t="shared" si="22"/>
        <v>375</v>
      </c>
      <c r="B376" s="47"/>
      <c r="C376" s="47"/>
      <c r="D376" s="47"/>
      <c r="E376" s="47"/>
      <c r="F376" s="47"/>
      <c r="G376" s="47"/>
      <c r="H376" s="47" t="str">
        <f t="shared" si="23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22"/>
        <v>376</v>
      </c>
      <c r="B377" s="47"/>
      <c r="C377" s="47"/>
      <c r="D377" s="47"/>
      <c r="E377" s="47"/>
      <c r="F377" s="47"/>
      <c r="G377" s="47"/>
      <c r="H377" s="47" t="str">
        <f t="shared" si="23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22"/>
        <v>377</v>
      </c>
      <c r="B378" s="47"/>
      <c r="C378" s="47"/>
      <c r="D378" s="47"/>
      <c r="E378" s="47"/>
      <c r="F378" s="47"/>
      <c r="G378" s="47"/>
      <c r="H378" s="47" t="str">
        <f t="shared" si="23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22"/>
        <v>378</v>
      </c>
      <c r="B379" s="47"/>
      <c r="C379" s="47"/>
      <c r="D379" s="47"/>
      <c r="E379" s="47"/>
      <c r="F379" s="47"/>
      <c r="G379" s="47"/>
      <c r="H379" s="47" t="str">
        <f t="shared" si="23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ht="15.75" x14ac:dyDescent="0.25">
      <c r="B380" s="47"/>
      <c r="C380" s="47"/>
      <c r="D380" s="47"/>
      <c r="E380" s="47"/>
      <c r="F380" s="47"/>
      <c r="G380" s="47"/>
      <c r="H380" s="1"/>
      <c r="I380" s="55"/>
      <c r="J380" s="19"/>
      <c r="K380" s="47"/>
      <c r="M380" t="s">
        <v>44</v>
      </c>
    </row>
    <row r="381" spans="1:18" ht="15.75" x14ac:dyDescent="0.25">
      <c r="F381" s="1"/>
      <c r="G381" s="1"/>
      <c r="H381" s="1"/>
      <c r="I381" s="20"/>
      <c r="K381" s="47"/>
    </row>
    <row r="382" spans="1:18" ht="15.75" x14ac:dyDescent="0.25">
      <c r="F382" s="1"/>
      <c r="G382" s="1"/>
      <c r="H382" s="1"/>
      <c r="I382" s="20"/>
      <c r="K382" s="47"/>
    </row>
    <row r="383" spans="1:18" ht="15.75" x14ac:dyDescent="0.25">
      <c r="F383" s="1"/>
      <c r="G383" s="1"/>
      <c r="H383" s="1"/>
      <c r="I383" s="20"/>
      <c r="K383" s="47"/>
    </row>
    <row r="384" spans="1:18" ht="15.75" x14ac:dyDescent="0.25">
      <c r="C384" s="1"/>
      <c r="D384" s="1"/>
      <c r="E384" s="1"/>
      <c r="F384" s="1"/>
      <c r="G384" s="1"/>
      <c r="H384" s="1"/>
      <c r="I384" s="20"/>
      <c r="K384" s="47"/>
    </row>
    <row r="385" spans="1:17" x14ac:dyDescent="0.25">
      <c r="A385" s="5"/>
      <c r="B385" s="6"/>
      <c r="C385" s="7"/>
      <c r="D385" s="7"/>
      <c r="E385" s="7"/>
      <c r="F385" s="7"/>
      <c r="G385" s="7"/>
      <c r="H385" s="7"/>
      <c r="I385" s="7"/>
      <c r="J385" s="7"/>
      <c r="K385" s="47"/>
      <c r="L385" s="7"/>
      <c r="M385" s="7"/>
      <c r="N385" s="7"/>
      <c r="O385" s="7"/>
      <c r="P385" s="7"/>
      <c r="Q385" s="7"/>
    </row>
    <row r="386" spans="1:17" x14ac:dyDescent="0.25">
      <c r="A386" s="5"/>
      <c r="B386" s="6"/>
      <c r="C386" s="7"/>
      <c r="D386" s="7"/>
      <c r="E386" s="7"/>
      <c r="F386" s="7"/>
      <c r="G386" s="7"/>
      <c r="H386" s="7"/>
      <c r="I386" s="7"/>
      <c r="J386" s="7"/>
      <c r="K386" s="47"/>
      <c r="L386" s="7"/>
      <c r="M386" s="7"/>
      <c r="N386" s="7"/>
      <c r="O386" s="7"/>
      <c r="P386" s="7"/>
      <c r="Q386" s="7"/>
    </row>
    <row r="387" spans="1:17" x14ac:dyDescent="0.25">
      <c r="K387" s="47"/>
    </row>
    <row r="388" spans="1:17" x14ac:dyDescent="0.25">
      <c r="K388" s="47"/>
    </row>
    <row r="389" spans="1:17" x14ac:dyDescent="0.25">
      <c r="K389" s="47"/>
    </row>
    <row r="390" spans="1:17" x14ac:dyDescent="0.25">
      <c r="K390" s="47"/>
    </row>
    <row r="391" spans="1:17" x14ac:dyDescent="0.25">
      <c r="K391" s="47"/>
    </row>
    <row r="392" spans="1:17" x14ac:dyDescent="0.25">
      <c r="K392" s="47"/>
    </row>
    <row r="393" spans="1:17" x14ac:dyDescent="0.25">
      <c r="K393" s="47"/>
    </row>
    <row r="394" spans="1:17" x14ac:dyDescent="0.25">
      <c r="K394" s="47"/>
    </row>
    <row r="395" spans="1:17" x14ac:dyDescent="0.25">
      <c r="K395" s="47"/>
    </row>
    <row r="396" spans="1:17" x14ac:dyDescent="0.25">
      <c r="K396" s="47"/>
    </row>
    <row r="397" spans="1:17" x14ac:dyDescent="0.25">
      <c r="K397" s="47"/>
    </row>
    <row r="398" spans="1:17" x14ac:dyDescent="0.25">
      <c r="K398" s="47"/>
    </row>
    <row r="399" spans="1:17" x14ac:dyDescent="0.25">
      <c r="K399" s="47"/>
    </row>
    <row r="400" spans="1:17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x14ac:dyDescent="0.25">
      <c r="K519" s="44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B297:G380 A298:A300 K298:R300 K299:K325 A301:B301 L301:R325 A302:A379 I308:I317 H313:H314 J313:J314 H315:J328 I325:I332 K326:R374 H329:H330 J329:J333 H331:J332 H333 H334:J360 I357:I368 H361:H368 J361:J368 H369:J374 H375:R379 I380 K380:K469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81:O391 L380:O380">
    <cfRule type="expression" dxfId="9" priority="16">
      <formula>ROW(M93)=HighlightRow</formula>
    </cfRule>
  </conditionalFormatting>
  <conditionalFormatting sqref="P380:Q391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0"/>
  <sheetViews>
    <sheetView topLeftCell="A157" zoomScale="85" zoomScaleNormal="85" workbookViewId="0">
      <selection activeCell="B169" sqref="B169:E17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>ROW()-2</f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>ROW()-2</f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>ROW()-2</f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>ROW()-2</f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>ROW()-2</f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>ROW()-2</f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>ROW()-2</f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>ROW()-2</f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>ROW()-2</f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>ROW()-2</f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>ROW()-2</f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>ROW()-2</f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>ROW()-2</f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>ROW()-2</f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>ROW()-2</f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>ROW()-2</f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>ROW()-2</f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>ROW()-2</f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>ROW()-2</f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>ROW()-2</f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>ROW()-2</f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>ROW()-2</f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>ROW()-2</f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>ROW()-2</f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>ROW()-2</f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>ROW()-2</f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>ROW()-2</f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>ROW()-2</f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>ROW()-2</f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>ROW()-2</f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>ROW()-2</f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>ROW()-2</f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>ROW()-2</f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>ROW()-2</f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>ROW()-2</f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>ROW()-2</f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>ROW()-2</f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>ROW()-2</f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>ROW()-2</f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>ROW()-2</f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>ROW()-2</f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>ROW()-2</f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>ROW()-2</f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>ROW()-2</f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>ROW()-2</f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>ROW()-2</f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>ROW()-2</f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>ROW()-2</f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>ROW()-2</f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>ROW()-2</f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>ROW()-2</f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>ROW()-2</f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>ROW()-2</f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>ROW()-2</f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>ROW()-2</f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>ROW()-2</f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>ROW()-2</f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>ROW()-2</f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>ROW()-2</f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>ROW()-2</f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>ROW()-2</f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>ROW()-2</f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>ROW()-2</f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>ROW()-2</f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>ROW()-2</f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>ROW()-2</f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>ROW()-2</f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>ROW()-2</f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>ROW()-2</f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>ROW()-2</f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>ROW()-2</f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>ROW()-2</f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>ROW()-2</f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>ROW()-2</f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>ROW()-2</f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>ROW()-2</f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>ROW()-2</f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>ROW()-2</f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>ROW()-2</f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>ROW()-2</f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>ROW()-2</f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>ROW()-2</f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>ROW()-2</f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>ROW()-2</f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>ROW()-2</f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>ROW()-2</f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>ROW()-2</f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>ROW()-2</f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>ROW()-2</f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>ROW()-2</f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>ROW()-2</f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>ROW()-2</f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>ROW()-2</f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>ROW()-2</f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>ROW()-2</f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>ROW()-2</f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>ROW()-2</f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>ROW()-2</f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>ROW()-2</f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>ROW()-2</f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>ROW()-2</f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>ROW()-2</f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>ROW()-2</f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>ROW()-2</f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>ROW()-2</f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>ROW()-2</f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>ROW()-2</f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>ROW()-2</f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>ROW()-2</f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>ROW()-2</f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>ROW()-2</f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>ROW()-2</f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>ROW()-2</f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>ROW()-2</f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>ROW()-2</f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>ROW()-2</f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>ROW()-2</f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>ROW()-2</f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>ROW()-2</f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>ROW()-2</f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>ROW()-2</f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>ROW()-2</f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>ROW()-2</f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>ROW()-2</f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>ROW()-2</f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>ROW()-2</f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>ROW()-2</f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>ROW()-2</f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>ROW()-2</f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>ROW()-2</f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>ROW()-2</f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>ROW()-2</f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>ROW()-2</f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>ROW()-2</f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>ROW()-2</f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>ROW()-2</f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>ROW()-2</f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>ROW()-2</f>
        <v>142</v>
      </c>
      <c r="B144" s="43" t="s">
        <v>7772</v>
      </c>
      <c r="C144" s="43">
        <v>9596336858</v>
      </c>
      <c r="D144" s="43" t="s">
        <v>8176</v>
      </c>
      <c r="E144" s="43" t="s">
        <v>7775</v>
      </c>
      <c r="F144" s="21"/>
      <c r="G144" s="21"/>
      <c r="H144" s="19" t="s">
        <v>8168</v>
      </c>
    </row>
    <row r="145" spans="1:8" ht="15.75" x14ac:dyDescent="0.25">
      <c r="A145" s="19">
        <f>ROW()-2</f>
        <v>143</v>
      </c>
      <c r="B145" s="43" t="s">
        <v>7743</v>
      </c>
      <c r="C145" s="43">
        <v>7006409005</v>
      </c>
      <c r="D145" s="43" t="s">
        <v>7785</v>
      </c>
      <c r="E145" s="43" t="s">
        <v>7751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>ROW()-2</f>
        <v>144</v>
      </c>
      <c r="B146" s="43" t="s">
        <v>7766</v>
      </c>
      <c r="C146" s="43">
        <v>9622775800</v>
      </c>
      <c r="D146" s="43" t="s">
        <v>7816</v>
      </c>
      <c r="E146" s="43" t="s">
        <v>7768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>ROW()-2</f>
        <v>145</v>
      </c>
      <c r="B147" s="43" t="s">
        <v>2915</v>
      </c>
      <c r="C147" s="43">
        <v>9906625047</v>
      </c>
      <c r="D147" s="43" t="s">
        <v>7817</v>
      </c>
      <c r="E147" s="43" t="s">
        <v>7749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>ROW()-2</f>
        <v>146</v>
      </c>
      <c r="B148" s="43" t="s">
        <v>6391</v>
      </c>
      <c r="C148" s="43">
        <v>8493055195</v>
      </c>
      <c r="D148" s="43" t="s">
        <v>7813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>ROW()-2</f>
        <v>147</v>
      </c>
      <c r="B149" s="43" t="s">
        <v>7790</v>
      </c>
      <c r="C149" s="43">
        <v>9419070393</v>
      </c>
      <c r="D149" s="43" t="s">
        <v>7814</v>
      </c>
      <c r="E149" s="43" t="s">
        <v>7795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>ROW()-2</f>
        <v>148</v>
      </c>
      <c r="B150" s="43" t="s">
        <v>658</v>
      </c>
      <c r="C150" s="43">
        <v>7006898324</v>
      </c>
      <c r="D150" s="43" t="s">
        <v>8145</v>
      </c>
      <c r="E150" s="43" t="s">
        <v>7927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>ROW()-2</f>
        <v>149</v>
      </c>
      <c r="B151" s="43" t="s">
        <v>3624</v>
      </c>
      <c r="C151" s="43">
        <v>7006928931</v>
      </c>
      <c r="D151" s="43" t="s">
        <v>8144</v>
      </c>
      <c r="E151" s="43" t="s">
        <v>7750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>ROW()-2</f>
        <v>150</v>
      </c>
      <c r="B152" s="43" t="s">
        <v>8063</v>
      </c>
      <c r="C152" s="43">
        <v>9070599346</v>
      </c>
      <c r="D152" s="43" t="s">
        <v>8092</v>
      </c>
      <c r="E152" s="43" t="s">
        <v>8087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>ROW()-2</f>
        <v>151</v>
      </c>
      <c r="B153" s="43" t="s">
        <v>8050</v>
      </c>
      <c r="C153" s="43">
        <v>9070111588</v>
      </c>
      <c r="D153" s="43" t="s">
        <v>8148</v>
      </c>
      <c r="E153" s="43" t="s">
        <v>8091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>ROW()-2</f>
        <v>152</v>
      </c>
      <c r="B154" s="57" t="s">
        <v>8075</v>
      </c>
      <c r="C154" s="57">
        <v>6005254071</v>
      </c>
      <c r="D154" s="57" t="s">
        <v>8121</v>
      </c>
      <c r="E154" s="57" t="s">
        <v>8088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>ROW()-2</f>
        <v>153</v>
      </c>
      <c r="B155" s="19" t="s">
        <v>8067</v>
      </c>
      <c r="C155" s="19">
        <v>9797071432</v>
      </c>
      <c r="D155" s="19" t="s">
        <v>8123</v>
      </c>
      <c r="E155" s="19" t="s">
        <v>8089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>ROW()-2</f>
        <v>154</v>
      </c>
      <c r="B156" s="19" t="s">
        <v>8141</v>
      </c>
      <c r="C156" s="19">
        <v>7780804850</v>
      </c>
      <c r="D156" s="19" t="s">
        <v>8142</v>
      </c>
      <c r="E156" s="19" t="s">
        <v>8119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>ROW()-2</f>
        <v>155</v>
      </c>
      <c r="B157" s="19" t="s">
        <v>7711</v>
      </c>
      <c r="C157" s="19">
        <v>9622020576</v>
      </c>
      <c r="D157" s="19" t="s">
        <v>8147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>ROW()-2</f>
        <v>156</v>
      </c>
      <c r="B158" s="19" t="s">
        <v>2915</v>
      </c>
      <c r="C158" s="19">
        <v>9596187640</v>
      </c>
      <c r="D158" s="19" t="s">
        <v>8146</v>
      </c>
      <c r="E158" s="19" t="s">
        <v>7862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>ROW()-2</f>
        <v>157</v>
      </c>
      <c r="B159" s="19" t="s">
        <v>8133</v>
      </c>
      <c r="C159" s="19">
        <v>7889666298</v>
      </c>
      <c r="D159" s="19" t="s">
        <v>8134</v>
      </c>
      <c r="E159" s="19" t="s">
        <v>7457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>ROW()-2</f>
        <v>158</v>
      </c>
      <c r="B160" s="19" t="s">
        <v>8045</v>
      </c>
      <c r="C160" s="19">
        <v>9906284454</v>
      </c>
      <c r="D160" s="19" t="s">
        <v>8135</v>
      </c>
      <c r="E160" s="19" t="s">
        <v>8086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>ROW()-2</f>
        <v>159</v>
      </c>
      <c r="B161" s="19" t="s">
        <v>6773</v>
      </c>
      <c r="C161" s="19">
        <v>7006274587</v>
      </c>
      <c r="D161" s="19" t="s">
        <v>8175</v>
      </c>
      <c r="E161" s="19" t="s">
        <v>7730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>ROW()-2</f>
        <v>160</v>
      </c>
      <c r="B162" s="19" t="s">
        <v>8177</v>
      </c>
      <c r="C162" s="19">
        <v>9018734100</v>
      </c>
      <c r="D162" s="19" t="s">
        <v>8178</v>
      </c>
      <c r="E162" s="19" t="s">
        <v>8167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>ROW()-2</f>
        <v>161</v>
      </c>
      <c r="B163" s="19" t="s">
        <v>2303</v>
      </c>
      <c r="C163" s="19">
        <v>9797443009</v>
      </c>
      <c r="D163" s="19" t="s">
        <v>8211</v>
      </c>
      <c r="E163" s="19" t="s">
        <v>8117</v>
      </c>
      <c r="F163" s="21">
        <v>46030</v>
      </c>
      <c r="G163" s="21" t="s">
        <v>341</v>
      </c>
      <c r="H163" s="19" t="s">
        <v>8168</v>
      </c>
    </row>
    <row r="164" spans="1:8" ht="15.75" x14ac:dyDescent="0.25">
      <c r="A164" s="19">
        <f>ROW()-2</f>
        <v>162</v>
      </c>
      <c r="B164" s="19" t="s">
        <v>8171</v>
      </c>
      <c r="C164" s="19">
        <v>9596443329</v>
      </c>
      <c r="D164" s="19" t="s">
        <v>8210</v>
      </c>
      <c r="E164" s="19" t="s">
        <v>8173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>ROW()-2</f>
        <v>163</v>
      </c>
      <c r="B165" s="19" t="s">
        <v>8108</v>
      </c>
      <c r="C165" s="19">
        <v>8899110779</v>
      </c>
      <c r="D165" s="19" t="s">
        <v>8213</v>
      </c>
      <c r="E165" s="19" t="s">
        <v>8120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>ROW()-2</f>
        <v>164</v>
      </c>
      <c r="B166" s="19" t="s">
        <v>8185</v>
      </c>
      <c r="C166" s="19">
        <v>7889664350</v>
      </c>
      <c r="D166" s="19" t="s">
        <v>8223</v>
      </c>
      <c r="E166" s="19" t="s">
        <v>8187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>ROW()-2</f>
        <v>165</v>
      </c>
      <c r="B167" s="19" t="s">
        <v>8220</v>
      </c>
      <c r="C167" s="19">
        <v>6006052436</v>
      </c>
      <c r="D167" s="19" t="s">
        <v>8221</v>
      </c>
      <c r="E167" s="19" t="s">
        <v>7784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>ROW()-2</f>
        <v>166</v>
      </c>
      <c r="B168" s="47" t="s">
        <v>8217</v>
      </c>
      <c r="C168" s="47">
        <v>6005379500</v>
      </c>
      <c r="D168" s="19" t="s">
        <v>8227</v>
      </c>
      <c r="E168" s="19"/>
      <c r="F168" s="21">
        <v>46030</v>
      </c>
      <c r="G168" s="21" t="s">
        <v>341</v>
      </c>
      <c r="H168" s="19" t="s">
        <v>8168</v>
      </c>
    </row>
    <row r="169" spans="1:8" ht="15.75" x14ac:dyDescent="0.25">
      <c r="A169" s="19">
        <f>ROW()-2</f>
        <v>167</v>
      </c>
      <c r="B169" s="19" t="s">
        <v>8182</v>
      </c>
      <c r="C169" s="19">
        <v>9906409906</v>
      </c>
      <c r="D169" s="19" t="s">
        <v>8226</v>
      </c>
      <c r="E169" s="19" t="s">
        <v>8194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>ROW()-2</f>
        <v>168</v>
      </c>
      <c r="B170" s="19" t="s">
        <v>7950</v>
      </c>
      <c r="C170" s="19">
        <v>9419004025</v>
      </c>
      <c r="D170" s="19" t="s">
        <v>8149</v>
      </c>
      <c r="E170" s="19" t="s">
        <v>8016</v>
      </c>
      <c r="F170" s="21">
        <v>46026</v>
      </c>
      <c r="G170" s="21" t="s">
        <v>341</v>
      </c>
      <c r="H170" s="19" t="s">
        <v>6665</v>
      </c>
    </row>
    <row r="171" spans="1:8" ht="15.75" x14ac:dyDescent="0.25">
      <c r="A171" s="19">
        <f>ROW()-2</f>
        <v>169</v>
      </c>
      <c r="B171" s="19" t="s">
        <v>8007</v>
      </c>
      <c r="C171" s="19">
        <v>7889441591</v>
      </c>
      <c r="D171" s="19" t="s">
        <v>8143</v>
      </c>
      <c r="E171" s="19" t="s">
        <v>8008</v>
      </c>
      <c r="F171" s="21">
        <v>46029</v>
      </c>
      <c r="G171" s="21" t="s">
        <v>341</v>
      </c>
      <c r="H171" s="19" t="s">
        <v>6665</v>
      </c>
    </row>
    <row r="172" spans="1:8" ht="15.75" x14ac:dyDescent="0.25">
      <c r="A172" s="19">
        <f>ROW()-2</f>
        <v>170</v>
      </c>
      <c r="B172" s="19" t="s">
        <v>2841</v>
      </c>
      <c r="C172" s="19">
        <v>7006960324</v>
      </c>
      <c r="D172" s="19" t="s">
        <v>8140</v>
      </c>
      <c r="E172" s="19" t="s">
        <v>7867</v>
      </c>
      <c r="F172" s="21">
        <v>46029</v>
      </c>
      <c r="G172" s="21" t="s">
        <v>341</v>
      </c>
      <c r="H172" s="19" t="s">
        <v>6665</v>
      </c>
    </row>
    <row r="173" spans="1:8" ht="15.75" x14ac:dyDescent="0.25">
      <c r="A173" s="19">
        <f>ROW()-2</f>
        <v>171</v>
      </c>
      <c r="B173" s="19" t="s">
        <v>7866</v>
      </c>
      <c r="C173" s="19">
        <v>9906759399</v>
      </c>
      <c r="D173" s="19" t="s">
        <v>8139</v>
      </c>
      <c r="E173" s="19" t="s">
        <v>7868</v>
      </c>
      <c r="F173" s="21">
        <v>46029</v>
      </c>
      <c r="G173" s="21" t="s">
        <v>341</v>
      </c>
      <c r="H173" s="19" t="s">
        <v>6665</v>
      </c>
    </row>
    <row r="174" spans="1:8" ht="15.75" x14ac:dyDescent="0.25">
      <c r="A174" s="19">
        <f>ROW()-2</f>
        <v>172</v>
      </c>
      <c r="B174" s="19" t="s">
        <v>7974</v>
      </c>
      <c r="C174" s="19">
        <v>9149592772</v>
      </c>
      <c r="D174" s="19" t="s">
        <v>8138</v>
      </c>
      <c r="E174" s="19" t="s">
        <v>7976</v>
      </c>
      <c r="F174" s="21">
        <v>46029</v>
      </c>
      <c r="G174" s="21" t="s">
        <v>341</v>
      </c>
      <c r="H174" s="19" t="s">
        <v>6665</v>
      </c>
    </row>
    <row r="175" spans="1:8" ht="15.75" x14ac:dyDescent="0.25">
      <c r="A175" s="19">
        <f>ROW()-2</f>
        <v>173</v>
      </c>
      <c r="B175" s="19" t="s">
        <v>7990</v>
      </c>
      <c r="C175" s="19">
        <v>9596382727</v>
      </c>
      <c r="D175" s="19" t="s">
        <v>8137</v>
      </c>
      <c r="E175" s="19" t="s">
        <v>7992</v>
      </c>
      <c r="F175" s="21">
        <v>46029</v>
      </c>
      <c r="G175" s="21" t="s">
        <v>341</v>
      </c>
      <c r="H175" s="19" t="s">
        <v>6665</v>
      </c>
    </row>
    <row r="176" spans="1:8" ht="15.75" x14ac:dyDescent="0.25">
      <c r="A176" s="19">
        <f>ROW()-2</f>
        <v>174</v>
      </c>
      <c r="B176" s="19" t="s">
        <v>4284</v>
      </c>
      <c r="C176" s="19">
        <v>8899926488</v>
      </c>
      <c r="D176" s="19" t="s">
        <v>8136</v>
      </c>
      <c r="E176" s="19" t="s">
        <v>7987</v>
      </c>
      <c r="F176" s="21">
        <v>46029</v>
      </c>
      <c r="G176" s="21" t="s">
        <v>341</v>
      </c>
      <c r="H176" s="19" t="s">
        <v>6665</v>
      </c>
    </row>
    <row r="177" spans="1:8" ht="15.75" x14ac:dyDescent="0.25">
      <c r="A177" s="19">
        <f>ROW()-2</f>
        <v>175</v>
      </c>
      <c r="B177" s="19" t="s">
        <v>8202</v>
      </c>
      <c r="C177" s="19">
        <v>8491882203</v>
      </c>
      <c r="D177" s="19" t="s">
        <v>8228</v>
      </c>
      <c r="E177" s="19" t="s">
        <v>8209</v>
      </c>
      <c r="F177" s="21">
        <v>46031</v>
      </c>
      <c r="G177" s="21" t="s">
        <v>341</v>
      </c>
      <c r="H177" s="19" t="s">
        <v>6665</v>
      </c>
    </row>
    <row r="178" spans="1:8" ht="15.75" x14ac:dyDescent="0.25">
      <c r="A178" s="19">
        <f>ROW()-2</f>
        <v>176</v>
      </c>
      <c r="B178" s="19"/>
      <c r="C178" s="19"/>
      <c r="D178" s="19"/>
      <c r="E178" s="19"/>
      <c r="F178" s="21"/>
      <c r="G178" s="21"/>
      <c r="H178" s="19"/>
    </row>
    <row r="179" spans="1:8" ht="15.75" x14ac:dyDescent="0.25">
      <c r="A179" s="19">
        <f>ROW()-2</f>
        <v>177</v>
      </c>
      <c r="B179" s="19"/>
      <c r="C179" s="19"/>
      <c r="D179" s="19"/>
      <c r="E179" s="19"/>
      <c r="F179" s="21"/>
      <c r="G179" s="21"/>
      <c r="H179" s="19"/>
    </row>
    <row r="180" spans="1:8" ht="15.75" x14ac:dyDescent="0.25">
      <c r="A180" s="19">
        <f>ROW()-2</f>
        <v>178</v>
      </c>
      <c r="B180" s="19"/>
      <c r="C180" s="19"/>
      <c r="D180" s="19"/>
      <c r="E180" s="19"/>
      <c r="F180" s="21"/>
      <c r="G180" s="21"/>
      <c r="H180" s="19"/>
    </row>
  </sheetData>
  <mergeCells count="1">
    <mergeCell ref="A1:H1"/>
  </mergeCells>
  <conditionalFormatting sqref="B103 E103 B121:E154">
    <cfRule type="expression" dxfId="5" priority="12">
      <formula>CELL("row")=ROW()</formula>
    </cfRule>
  </conditionalFormatting>
  <conditionalFormatting sqref="B169:E179">
    <cfRule type="expression" dxfId="4" priority="2">
      <formula>CELL("row")=ROW()</formula>
    </cfRule>
  </conditionalFormatting>
  <conditionalFormatting sqref="C103">
    <cfRule type="expression" dxfId="3" priority="11">
      <formula>CELL("row")=ROW()</formula>
    </cfRule>
  </conditionalFormatting>
  <conditionalFormatting sqref="C122">
    <cfRule type="expression" dxfId="2" priority="8">
      <formula>CELL("row")=ROW()</formula>
    </cfRule>
  </conditionalFormatting>
  <conditionalFormatting sqref="C176">
    <cfRule type="expression" dxfId="1" priority="1">
      <formula>CELL("row")=ROW()</formula>
    </cfRule>
  </conditionalFormatting>
  <conditionalFormatting sqref="E122">
    <cfRule type="expression" dxfId="0" priority="9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2026-01-09T06:01:45Z</dcterms:modified>
</cp:coreProperties>
</file>