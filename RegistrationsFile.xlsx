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4DEBDA-5CFF-4922-9564-8E8FAD7A09E5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2" i="7" l="1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<sst xmlns="http://schemas.openxmlformats.org/spreadsheetml/2006/main" count="21321" uniqueCount="8346">
  <si>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</si>
  <si>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</si>
  <si>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</si>
  <si>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</si>
  <si>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</si>
  <si>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</si>
  <si>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</si>
  <si>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</si>
  <si>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</si>
  <si>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</si>
  <si>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</si>
  <si>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</si>
  <si>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</si>
  <si>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</si>
  <si>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</si>
  <si>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</si>
  <si>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</si>
  <si>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</si>
  <si>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</si>
  <si>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</si>
  <si>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</si>
  <si>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</si>
  <si>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</si>
  <si>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</si>
  <si>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</si>
  <si>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</si>
  <si>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</si>
  <si>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</si>
  <si>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</si>
  <si>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</si>
  <si>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</si>
  <si>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</si>
  <si>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</si>
  <si>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</si>
  <si>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</si>
  <si>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</si>
  <si>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</si>
  <si>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</si>
  <si>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</si>
  <si>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</si>
  <si>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</si>
  <si>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</si>
  <si>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</si>
  <si>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</si>
  <si>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</si>
  <si>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</si>
  <si>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</si>
  <si>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</si>
  <si>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</si>
  <si>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</si>
  <si>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</si>
  <si>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</si>
  <si>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</si>
  <si>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</si>
  <si>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</si>
  <si>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</si>
  <si>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</si>
  <si>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</si>
  <si>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</si>
  <si>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</si>
  <si>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</si>
  <si>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</si>
  <si>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</si>
  <si>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</si>
  <si>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</si>
  <si>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</si>
  <si>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</si>
  <si>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</si>
  <si>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</si>
  <si>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</si>
  <si>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</si>
  <si>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</si>
  <si>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</si>
  <si>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</si>
  <si>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</si>
  <si>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</si>
  <si>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</si>
  <si>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</si>
  <si>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</si>
  <si>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</si>
  <si>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</si>
  <si>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</si>
  <si>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</si>
  <si>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</si>
  <si>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</si>
  <si>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</si>
  <si>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</si>
  <si>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</si>
  <si>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</si>
  <si>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</si>
  <si>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</si>
  <si>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</si>
  <si>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</si>
  <si>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</si>
  <si>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</si>
  <si>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</si>
  <si>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</si>
  <si>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</si>
  <si>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</si>
  <si>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</si>
  <si>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</si>
  <si>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</si>
  <si>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</si>
  <si>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</si>
  <si>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</si>
  <si>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</si>
  <si>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</si>
  <si>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</si>
  <si>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</si>
  <si>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</si>
  <si>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</si>
  <si>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</si>
  <si>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</si>
  <si>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</si>
  <si>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</si>
  <si>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</si>
  <si>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</si>
  <si>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</si>
  <si>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</si>
  <si>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</si>
  <si>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</si>
  <si>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</si>
  <si>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</si>
  <si>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</si>
  <si>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</si>
  <si>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</si>
  <si>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</si>
  <si>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</si>
  <si>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</si>
  <si>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</si>
  <si>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</si>
  <si>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</si>
  <si>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</si>
  <si>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</si>
  <si>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</si>
  <si>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</si>
  <si>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</si>
  <si>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</si>
  <si>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</si>
  <si>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</si>
  <si>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</si>
  <si>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</si>
  <si>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</si>
  <si>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</si>
  <si>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</si>
  <si>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</si>
  <si>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</si>
  <si>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</si>
  <si>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</si>
  <si>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</si>
  <si>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</si>
  <si>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</si>
  <si>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</si>
  <si>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</si>
  <si>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</si>
  <si>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</si>
  <si>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</si>
  <si>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</si>
  <si>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</si>
  <si>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</si>
  <si>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</si>
  <si>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</si>
  <si>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</si>
  <si>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</si>
  <si>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</si>
  <si>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</si>
  <si>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</si>
  <si>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</si>
  <si>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</si>
  <si>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</si>
  <si>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</si>
  <si>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</si>
  <si>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</si>
  <si>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</si>
  <si>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</si>
  <si>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</si>
  <si>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</si>
  <si>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</si>
  <si>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</si>
  <si>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</si>
  <si>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</si>
  <si>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</si>
  <si>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</si>
  <si>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</si>
  <si>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</si>
  <si>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</si>
  <si>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</si>
  <si>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</si>
  <si>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</si>
  <si>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</si>
  <si>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</si>
  <si>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</si>
  <si>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</si>
  <si>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</si>
  <si>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</si>
  <si>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</si>
  <si>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</si>
  <si>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</si>
  <si>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</si>
  <si>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</si>
  <si>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</si>
  <si>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</si>
  <si>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</si>
  <si>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</si>
  <si>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</si>
  <si>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</si>
  <si>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</si>
  <si>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</si>
  <si>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</si>
  <si>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</si>
  <si>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</si>
  <si>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</si>
  <si>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</si>
  <si>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</si>
  <si>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</si>
  <si>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</si>
  <si>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</si>
  <si>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</si>
  <si>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</si>
  <si>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</si>
  <si>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</si>
  <si>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</si>
  <si>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</si>
  <si>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</si>
  <si>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</si>
  <si>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</si>
  <si>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</si>
  <si>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</si>
  <si>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</si>
  <si>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</si>
  <si>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</si>
  <si>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</si>
  <si>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</si>
  <si>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</si>
  <si>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</si>
  <si>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</si>
  <si>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</si>
  <si>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</si>
  <si>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</si>
  <si>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</si>
  <si>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</si>
  <si>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</si>
  <si>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</si>
  <si>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</si>
  <si>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</si>
  <si>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</si>
  <si>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</si>
  <si>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</si>
  <si>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</si>
  <si>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</si>
  <si>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</si>
  <si>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</si>
  <si>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</si>
  <si>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</si>
  <si>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</si>
  <si>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</si>
  <si>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</si>
  <si>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</si>
  <si>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</si>
  <si>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</si>
  <si>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</si>
  <si>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</si>
  <si>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</si>
  <si>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</si>
  <si>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</si>
  <si>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</si>
  <si>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</si>
  <si>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</si>
  <si>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</si>
  <si>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</si>
  <si>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</si>
  <si>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</si>
  <si>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</si>
  <si>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</si>
  <si>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</si>
  <si>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</si>
  <si>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</si>
  <si>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</si>
  <si>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</si>
  <si>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</si>
  <si>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</si>
  <si>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</si>
  <si>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</si>
  <si>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</si>
  <si>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</si>
  <si>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</si>
  <si>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</si>
  <si>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</si>
  <si>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</si>
  <si>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</si>
  <si>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</si>
  <si>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</si>
  <si>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</si>
  <si>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</si>
  <si>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</si>
  <si>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</si>
  <si>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</si>
  <si>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</si>
  <si>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</si>
  <si>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</si>
  <si>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</si>
  <si>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</si>
  <si>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</si>
  <si>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</si>
  <si>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</si>
  <si>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</si>
  <si>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</si>
  <si>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</si>
  <si>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</si>
  <si>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</si>
  <si>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</si>
  <si>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</si>
  <si>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</si>
  <si>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</si>
  <si>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</si>
  <si>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</si>
  <si>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</si>
  <si>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</si>
  <si>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</si>
  <si>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</si>
  <si>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</si>
  <si>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</si>
  <si>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</si>
  <si>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</si>
  <si>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</si>
  <si>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</si>
  <si>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</si>
  <si>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</si>
  <si>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</si>
  <si>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</si>
  <si>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</si>
  <si>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</si>
  <si>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</si>
  <si>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</si>
  <si>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</si>
  <si>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</si>
  <si>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</si>
  <si>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</si>
  <si>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</si>
  <si>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</si>
  <si>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</si>
  <si>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</si>
  <si>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</si>
  <si>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</si>
  <si>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</si>
  <si>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</si>
  <si>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</si>
  <si>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</si>
  <si>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</si>
  <si>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</si>
  <si>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</si>
  <si>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</si>
  <si>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</si>
  <si>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</si>
  <si>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</si>
  <si>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</si>
  <si>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</si>
  <si>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</si>
  <si>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</si>
  <si>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</si>
  <si>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</si>
  <si>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</si>
  <si>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</si>
  <si>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</si>
  <si>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</si>
  <si>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</si>
  <si>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</si>
  <si>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</si>
  <si>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</si>
  <si>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</si>
  <si>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</si>
  <si>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</si>
  <si>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</si>
  <si>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</si>
  <si>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</si>
  <si>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</si>
  <si>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</si>
  <si>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</si>
  <si>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</si>
  <si>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</si>
  <si>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</si>
  <si>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</si>
  <si>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</si>
  <si>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</si>
  <si>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</si>
  <si>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</si>
  <si>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</si>
  <si>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</si>
  <si>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</si>
  <si>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</si>
  <si>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</si>
  <si>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</si>
  <si>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</si>
  <si>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</si>
  <si>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</si>
  <si>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</si>
  <si>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</si>
  <si>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</si>
  <si>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</si>
  <si>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</si>
  <si>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</si>
  <si>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</si>
  <si>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</si>
  <si>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</si>
  <si>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</si>
  <si>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</si>
  <si>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</si>
  <si>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</si>
  <si>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</si>
  <si>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</si>
  <si>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</si>
  <si>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</si>
  <si>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</si>
  <si>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</si>
  <si>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</si>
  <si>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</si>
  <si>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</si>
  <si>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</si>
  <si>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</si>
  <si>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</si>
  <si>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</si>
  <si>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</si>
  <si>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</si>
  <si>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</si>
  <si>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</si>
  <si>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</si>
  <si>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</si>
  <si>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</si>
  <si>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</si>
  <si>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</si>
  <si>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</si>
  <si>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</si>
  <si>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</si>
  <si>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</si>
  <si>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</si>
  <si>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</si>
  <si>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</si>
  <si>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</si>
  <si>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</si>
  <si>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</si>
  <si>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</si>
  <si>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</si>
  <si>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</si>
  <si>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</si>
  <si>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</si>
  <si>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</si>
  <si>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</si>
  <si>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</si>
  <si>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</si>
  <si>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</si>
  <si>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</si>
  <si>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</si>
  <si>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</si>
  <si>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</si>
  <si>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</si>
  <si>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</si>
  <si>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</si>
  <si>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</si>
  <si>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</si>
  <si>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</si>
  <si>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</si>
  <si>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</si>
  <si>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</si>
  <si>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</si>
  <si>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</si>
  <si>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</si>
  <si>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</si>
  <si>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</si>
  <si>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</si>
  <si>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</si>
  <si>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</si>
  <si>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</si>
  <si>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</si>
  <si>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</si>
  <si>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</si>
  <si>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</si>
  <si>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</si>
  <si>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</si>
  <si>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</si>
  <si>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</si>
  <si>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</si>
  <si>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</si>
  <si>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</si>
  <si>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</si>
  <si>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</si>
  <si>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</si>
  <si>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</si>
  <si>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</si>
  <si>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</si>
  <si>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</si>
  <si>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</si>
  <si>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</si>
  <si>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</si>
  <si>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</si>
  <si>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</si>
  <si>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</si>
  <si>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</si>
  <si>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</si>
  <si>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</si>
  <si>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</si>
  <si>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</si>
  <si>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</si>
  <si>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</si>
  <si>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</si>
  <si>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</si>
  <si>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</si>
  <si>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</si>
  <si>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</si>
  <si>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</si>
  <si>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</si>
  <si>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</si>
  <si>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</si>
  <si>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</si>
  <si>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</si>
  <si>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</si>
  <si>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</si>
  <si>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</si>
  <si>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</si>
  <si>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</si>
  <si>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</si>
  <si>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</si>
  <si>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</si>
  <si>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</si>
  <si>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</si>
  <si>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</si>
  <si>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</si>
  <si>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</si>
  <si>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</si>
  <si>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</si>
  <si>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</si>
  <si>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</si>
  <si>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</si>
  <si>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</si>
  <si>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</si>
  <si>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</si>
  <si>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</si>
  <si>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</si>
  <si>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</si>
  <si>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</si>
  <si>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</si>
  <si>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</si>
  <si>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</si>
  <si>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</si>
  <si>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</si>
  <si>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</si>
  <si>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</si>
  <si>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</si>
  <si>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</si>
  <si>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</si>
  <si>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</si>
  <si>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</si>
  <si>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</si>
  <si>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</si>
  <si>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</si>
  <si>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</si>
  <si>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</si>
  <si>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</si>
  <si>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</si>
  <si>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</si>
  <si>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</si>
  <si>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</si>
  <si>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</si>
  <si>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</si>
  <si>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</si>
  <si>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</si>
  <si>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</si>
  <si>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</si>
  <si>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</si>
  <si>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</si>
  <si>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</si>
  <si>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</si>
  <si>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</si>
  <si>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</si>
  <si>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</si>
  <si>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</si>
  <si>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</si>
  <si>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</si>
  <si>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</si>
  <si>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</si>
  <si>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</si>
  <si>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</si>
  <si>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</si>
  <si>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</si>
  <si>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</si>
  <si>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</si>
  <si>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</si>
  <si>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</si>
  <si>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</si>
  <si>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</si>
  <si>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</si>
  <si>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</si>
  <si>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</si>
  <si>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</si>
  <si>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</si>
  <si>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</si>
  <si>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</si>
  <si>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</si>
  <si>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</si>
  <si>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</si>
  <si>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</si>
  <si>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</si>
  <si>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</si>
  <si>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</si>
  <si>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</si>
  <si>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</si>
  <si>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</si>
  <si>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</si>
  <si>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</si>
  <si>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</si>
  <si>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</si>
  <si>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</si>
  <si>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</si>
  <si>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</si>
  <si>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</si>
  <si>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</si>
  <si>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</si>
  <si>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</si>
  <si>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</si>
  <si>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</si>
  <si>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</si>
  <si>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</si>
  <si>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</si>
  <si>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</si>
  <si>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</si>
  <si>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</si>
  <si>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</si>
  <si>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</si>
  <si>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</si>
  <si>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</si>
  <si>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</si>
  <si>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</si>
  <si>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</si>
  <si>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</si>
  <si>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</si>
  <si>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</si>
  <si>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</si>
  <si>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</si>
  <si>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</si>
  <si>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</si>
  <si>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</si>
  <si>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</si>
  <si>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</si>
  <si>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</si>
  <si>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</si>
  <si>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</si>
  <si>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</si>
  <si>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</si>
  <si>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</si>
  <si>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</si>
  <si>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</si>
  <si>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</si>
  <si>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</si>
  <si>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</si>
  <si>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</si>
  <si>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</si>
  <si>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</si>
  <si>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</si>
  <si>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</si>
  <si>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</si>
  <si>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</si>
  <si>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</si>
  <si>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</si>
  <si>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</si>
  <si>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</si>
  <si>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</si>
  <si>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</si>
  <si>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</si>
  <si>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</si>
  <si>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</si>
  <si>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</si>
  <si>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</si>
  <si>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</si>
  <si>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</si>
  <si>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</si>
  <si>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</si>
  <si>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</si>
  <si>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</si>
  <si>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</si>
  <si>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</si>
  <si>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</si>
  <si>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</si>
  <si>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</si>
  <si>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</si>
  <si>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</si>
  <si>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</si>
  <si>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</si>
  <si>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</si>
  <si>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</si>
  <si>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</si>
  <si>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</si>
  <si>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</si>
  <si>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</si>
  <si>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</si>
  <si>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</si>
  <si>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</si>
  <si>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</si>
  <si>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</si>
  <si>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</si>
  <si>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</si>
  <si>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</si>
  <si>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</si>
  <si>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</si>
  <si>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</si>
  <si>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</si>
  <si>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</si>
  <si>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</si>
  <si>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</si>
  <si>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</si>
  <si>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</si>
  <si>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</si>
  <si>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</si>
  <si>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</si>
  <si>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</si>
  <si>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</si>
  <si>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</si>
  <si>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</si>
  <si>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</si>
  <si>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</si>
  <si>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</si>
  <si>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</si>
  <si>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</si>
  <si>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</si>
  <si>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</si>
  <si>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</si>
  <si>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</si>
  <si>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</si>
  <si>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</si>
  <si>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</si>
  <si>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</si>
  <si>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</si>
  <si>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</si>
  <si>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</si>
  <si>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</si>
  <si>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</si>
  <si>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</si>
  <si>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</si>
  <si>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</si>
  <si>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</si>
  <si>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</si>
  <si>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</si>
  <si>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</si>
  <si>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</si>
  <si>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</si>
  <si>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</si>
  <si>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</si>
  <si>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</si>
  <si>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</si>
  <si>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</si>
  <si>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</si>
  <si>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</si>
  <si>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</si>
  <si>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</si>
  <si>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</si>
  <si>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</si>
  <si>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</si>
  <si>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</si>
  <si>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</si>
  <si>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</si>
  <si>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</si>
  <si>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</si>
  <si>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</si>
  <si>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</si>
  <si>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</si>
  <si>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</si>
  <si>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</si>
  <si>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</si>
  <si>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</si>
  <si>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</si>
  <si>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</si>
  <si>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</si>
  <si>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</si>
  <si>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</si>
  <si>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</si>
  <si>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</si>
  <si>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</si>
  <si>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</si>
  <si>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</si>
  <si>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</si>
  <si>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</si>
  <si>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</si>
  <si>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</si>
  <si>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</si>
  <si>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</si>
  <si>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</si>
  <si>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</si>
  <si>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</si>
  <si>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</si>
  <si>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</si>
  <si>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</si>
  <si>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</si>
  <si>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</si>
  <si>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</si>
  <si>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</si>
  <si>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</si>
  <si>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</si>
  <si>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</si>
  <si>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</si>
  <si>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</si>
  <si>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</si>
  <si>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</si>
  <si>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</si>
  <si>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</si>
  <si>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</si>
  <si>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</si>
  <si>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</si>
  <si>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</si>
  <si>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</si>
  <si>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</si>
  <si>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</si>
  <si>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</si>
  <si>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</si>
  <si>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</si>
  <si>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</si>
  <si>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</si>
  <si>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</si>
  <si>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</si>
  <si>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</si>
  <si>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</si>
  <si>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</si>
  <si>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</si>
  <si>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</si>
  <si>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</si>
  <si>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</si>
  <si>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</si>
  <si>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</si>
  <si>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</si>
  <si>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</si>
  <si>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</si>
  <si>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</si>
  <si>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</si>
  <si>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</si>
  <si>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</si>
  <si>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</si>
  <si>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</si>
  <si>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</si>
  <si>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</si>
  <si>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</si>
  <si>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</si>
  <si>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</si>
  <si>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</si>
  <si>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</si>
  <si>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</si>
  <si>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</si>
  <si>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</si>
  <si>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</si>
  <si>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</si>
  <si>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</si>
  <si>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</si>
  <si>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</si>
  <si>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</si>
  <si>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</si>
  <si>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</si>
  <si>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</si>
  <si>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</si>
  <si>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</si>
  <si>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</si>
  <si>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</si>
  <si>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</si>
  <si>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</si>
  <si>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</si>
  <si>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</si>
  <si>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</si>
  <si>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</si>
  <si>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</si>
  <si>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</si>
  <si>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</si>
  <si>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</si>
  <si>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</si>
  <si>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</si>
  <si>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</si>
  <si>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</si>
  <si>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</si>
  <si>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</si>
  <si>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</si>
  <si>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</si>
  <si>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</si>
  <si>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</si>
  <si>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</si>
  <si>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</si>
  <si>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</si>
  <si>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</si>
  <si>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</si>
  <si>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</si>
  <si>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</si>
  <si>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</si>
  <si>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</si>
  <si>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</si>
  <si>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</si>
  <si>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</si>
  <si>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</si>
  <si>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</si>
  <si>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</si>
  <si>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</si>
  <si>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</si>
  <si>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</si>
  <si>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</si>
  <si>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</si>
  <si>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</si>
  <si>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</si>
  <si>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</si>
  <si>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</si>
  <si>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</si>
  <si>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</si>
  <si>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</si>
  <si>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</si>
  <si>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</si>
  <si>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</si>
  <si>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</si>
  <si>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</si>
  <si>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</si>
  <si>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</si>
  <si>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</si>
  <si>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</si>
  <si>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</si>
  <si>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</si>
  <si>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</si>
  <si>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</si>
  <si>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</si>
  <si>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</si>
  <si>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</si>
  <si>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</si>
  <si>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</si>
  <si>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</si>
  <si>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</si>
  <si>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</si>
  <si>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</si>
  <si>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</si>
  <si>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</si>
  <si>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</si>
  <si>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</si>
  <si>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</si>
  <si>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</si>
  <si>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</si>
  <si>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</si>
  <si>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</si>
  <si>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</si>
  <si>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</si>
  <si>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</si>
  <si>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</si>
  <si>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</si>
  <si>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</si>
  <si>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</si>
  <si>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</si>
  <si>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</si>
  <si>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</si>
  <si>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</si>
  <si>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</si>
  <si>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</si>
  <si>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</si>
  <si>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</si>
  <si>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</si>
  <si>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</si>
  <si>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</si>
  <si>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</si>
  <si>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</si>
  <si>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</si>
  <si>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</si>
  <si>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</si>
  <si>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</si>
  <si>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</si>
  <si>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</si>
  <si>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</si>
  <si>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</si>
  <si>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</si>
  <si>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</si>
  <si>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</si>
  <si>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</si>
  <si>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</si>
  <si>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</si>
  <si>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</si>
  <si>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</si>
  <si>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</si>
  <si>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</si>
  <si>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</si>
  <si>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</si>
  <si>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</si>
  <si>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</si>
  <si>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</si>
  <si>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</si>
  <si>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</si>
  <si>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</si>
  <si>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</si>
  <si>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</si>
  <si>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</si>
  <si>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</si>
  <si>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</si>
  <si>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</si>
  <si>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</si>
  <si>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</si>
  <si>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</si>
  <si>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</si>
  <si>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</si>
  <si>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</si>
  <si>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</si>
  <si>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</si>
  <si>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</si>
  <si>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</si>
  <si>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</si>
  <si>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</si>
  <si>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</si>
  <si>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</si>
  <si>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</si>
  <si>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</si>
  <si>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</si>
  <si>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</si>
  <si>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</si>
  <si>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</si>
  <si>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</si>
  <si>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</si>
  <si>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</si>
  <si>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</si>
  <si>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</si>
  <si>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</si>
  <si>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</si>
  <si>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</si>
  <si>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</si>
  <si>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</si>
  <si>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</si>
  <si>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</si>
  <si>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</si>
  <si>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</si>
  <si>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</si>
  <si>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</si>
  <si>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</si>
  <si>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</si>
  <si>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</si>
  <si>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</si>
  <si>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</si>
  <si>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</si>
  <si>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</si>
  <si>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</si>
  <si>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</si>
  <si>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</si>
  <si>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</si>
  <si>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</si>
  <si>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</si>
  <si>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</si>
  <si>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</si>
  <si>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</si>
  <si>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</si>
  <si>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</si>
  <si>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</si>
  <si>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</si>
  <si>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</si>
  <si>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</si>
  <si>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</si>
  <si>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</si>
  <si>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</si>
  <si>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</si>
  <si>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</si>
  <si>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</si>
  <si>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</si>
  <si>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</si>
  <si>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</si>
  <si>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</si>
  <si>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</si>
  <si>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</si>
  <si>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</si>
  <si>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</si>
  <si>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</si>
  <si>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</si>
  <si>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</si>
  <si>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</si>
  <si>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</si>
  <si>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</si>
  <si>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</si>
  <si>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</si>
  <si>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</si>
  <si>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</si>
  <si>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</si>
  <si>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</si>
  <si>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</si>
  <si>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</si>
  <si>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</si>
  <si>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</si>
  <si>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</si>
  <si>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</si>
  <si>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</si>
  <si>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</si>
  <si>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</si>
  <si>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</si>
  <si>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</si>
  <si>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</si>
  <si>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</si>
  <si>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</si>
  <si>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</si>
  <si>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</si>
  <si>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</si>
  <si>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</si>
  <si>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</si>
  <si>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</si>
  <si>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</si>
  <si>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</si>
  <si>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</si>
  <si>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</si>
  <si>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</si>
  <si>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</si>
  <si>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</si>
  <si>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</si>
  <si>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</si>
  <si>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</si>
  <si>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</si>
  <si>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</si>
  <si>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</si>
  <si>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</si>
  <si>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</si>
  <si>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</si>
  <si>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</si>
  <si>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</si>
  <si>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</si>
  <si>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</si>
  <si>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</si>
  <si>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</si>
  <si>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</si>
  <si>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</si>
  <si>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</si>
  <si>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</si>
  <si>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</si>
  <si>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</si>
  <si>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</si>
  <si>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</si>
  <si>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</si>
  <si>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</si>
  <si>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</si>
  <si>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</si>
  <si>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</si>
  <si>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</si>
  <si>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</si>
  <si>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</si>
  <si>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</si>
  <si>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</si>
  <si>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</si>
  <si>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</si>
  <si>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</si>
  <si>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</si>
  <si>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</si>
  <si>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</si>
  <si>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</si>
  <si>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</si>
  <si>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</si>
  <si>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</si>
  <si>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</si>
  <si>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</si>
  <si>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</si>
  <si>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</si>
  <si>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</si>
  <si>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</si>
  <si>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</si>
  <si>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</si>
  <si>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</si>
  <si>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</si>
  <si>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</si>
  <si>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</si>
  <si>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</si>
  <si>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</si>
  <si>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</si>
  <si>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</si>
  <si>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</si>
  <si>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</si>
  <si>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</si>
  <si>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</si>
  <si>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</si>
  <si>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</si>
  <si>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</si>
  <si>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</si>
  <si>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</si>
  <si>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</si>
  <si>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</si>
  <si>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</si>
  <si>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</si>
  <si>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</si>
  <si>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</si>
  <si>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</si>
  <si>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</si>
  <si>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</si>
  <si>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</si>
  <si>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</si>
  <si>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</si>
  <si>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</si>
  <si>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</si>
  <si>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</si>
  <si>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</si>
  <si>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</si>
  <si>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</si>
  <si>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</si>
  <si>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</si>
  <si>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</si>
  <si>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</si>
  <si>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</si>
  <si>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</si>
  <si>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</si>
  <si>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</si>
  <si>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</si>
  <si>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</si>
  <si>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</si>
  <si>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</si>
  <si>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</si>
  <si>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</si>
  <si>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</si>
  <si>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</si>
  <si>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</si>
  <si>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</si>
  <si>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</si>
  <si>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</si>
  <si>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</si>
  <si>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</si>
  <si>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</si>
  <si>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</si>
  <si>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</si>
  <si>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</si>
  <si>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</si>
  <si>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</si>
  <si>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</si>
  <si>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</si>
  <si>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</si>
  <si>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</si>
  <si>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</si>
  <si>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</si>
  <si>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</si>
  <si>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</si>
  <si>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</si>
  <si>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</si>
  <si>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</si>
  <si>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</si>
  <si>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</si>
  <si>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</si>
  <si>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</si>
  <si>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</si>
  <si>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</si>
  <si>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</si>
  <si>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</si>
  <si>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</si>
  <si>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</si>
  <si>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</si>
  <si>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</si>
  <si>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</si>
  <si>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</si>
  <si>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</si>
  <si>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</si>
  <si>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</si>
  <si>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</si>
  <si>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</si>
  <si>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</si>
  <si>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</si>
  <si>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</si>
  <si>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</si>
  <si>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</si>
  <si>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</si>
  <si>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</si>
  <si>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</si>
  <si>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</si>
  <si>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</si>
  <si>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</si>
  <si>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</si>
  <si>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</si>
  <si>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</si>
  <si>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</si>
  <si>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</si>
  <si>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</si>
  <si>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</si>
  <si>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</si>
  <si>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</si>
  <si>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</si>
  <si>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</si>
  <si>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</si>
  <si>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</si>
  <si>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</si>
  <si>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</si>
  <si>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</si>
  <si>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</si>
  <si>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</si>
  <si>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</si>
  <si>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</si>
  <si>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</si>
  <si>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</si>
  <si>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</si>
  <si>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</si>
  <si>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</si>
  <si>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</si>
  <si>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</si>
  <si>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</si>
  <si>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</si>
  <si>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</si>
  <si>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</si>
  <si>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</si>
  <si>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</si>
  <si>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</si>
  <si>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</si>
  <si>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</si>
  <si>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</si>
  <si>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</si>
  <si>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</si>
  <si>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</si>
  <si>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</si>
  <si>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</si>
  <si>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</si>
  <si>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</si>
  <si>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</si>
  <si>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</si>
  <si>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</si>
  <si>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</si>
  <si>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</si>
  <si>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</si>
  <si>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</si>
  <si>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</si>
  <si>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</si>
  <si>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</si>
  <si>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</si>
  <si>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</si>
  <si>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</si>
  <si>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</si>
  <si>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</si>
  <si>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</si>
  <si>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</si>
  <si>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</si>
  <si>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</si>
  <si>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</si>
  <si>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</si>
  <si>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</si>
  <si>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</si>
  <si>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</si>
  <si>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</si>
  <si>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</si>
  <si>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</si>
  <si>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</si>
  <si>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</si>
  <si>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</si>
  <si>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</si>
  <si>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</si>
  <si>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</si>
  <si>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</si>
  <si>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</si>
  <si>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</si>
  <si>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</si>
  <si>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</si>
  <si>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</si>
  <si>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</si>
  <si>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</si>
  <si>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</si>
  <si>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</si>
  <si>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</si>
  <si>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</si>
  <si>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</si>
  <si>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</si>
  <si>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</si>
  <si>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</si>
  <si>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</si>
  <si>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</si>
  <si>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</si>
  <si>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</si>
  <si>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</si>
  <si>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</si>
  <si>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</si>
  <si>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</si>
  <si>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</si>
  <si>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</si>
  <si>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</si>
  <si>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</si>
  <si>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</si>
  <si>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</si>
  <si>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</si>
  <si>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</si>
  <si>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</si>
  <si>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</si>
  <si>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</si>
  <si>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</si>
  <si>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</si>
  <si>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</si>
  <si>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</si>
  <si>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</si>
  <si>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</si>
  <si>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</si>
  <si>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</si>
  <si>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</si>
  <si>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</si>
  <si>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</si>
  <si>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</si>
  <si>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</si>
  <si>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</si>
  <si>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</si>
  <si>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</si>
  <si>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</si>
  <si>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</si>
  <si>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</si>
  <si>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</si>
  <si>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</si>
  <si>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</si>
  <si>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</si>
  <si>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</si>
  <si>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</si>
  <si>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</si>
  <si>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</si>
  <si>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</si>
  <si>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</si>
  <si>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</si>
  <si>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</si>
  <si>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</si>
  <si>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</si>
  <si>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</si>
  <si>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</si>
  <si>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</si>
  <si>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</si>
  <si>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</si>
  <si>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</si>
  <si>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</si>
  <si>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</si>
  <si>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</si>
  <si>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</si>
  <si>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</si>
  <si>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</si>
  <si>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</si>
  <si>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</si>
  <si>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</si>
  <si>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</si>
  <si>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</si>
  <si>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</si>
  <si>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</si>
  <si>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</si>
  <si>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</si>
  <si>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</si>
  <si>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</si>
  <si>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</si>
  <si>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</si>
  <si>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</si>
  <si>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</si>
  <si>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</si>
  <si>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</si>
  <si>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</si>
  <si>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</si>
  <si>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</si>
  <si>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</si>
  <si>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</si>
  <si>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</si>
  <si>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</si>
  <si>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</si>
  <si>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</si>
  <si>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</si>
  <si>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</si>
  <si>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</si>
  <si>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</si>
  <si>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</si>
  <si>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</si>
  <si>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</si>
  <si>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</si>
  <si>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</si>
  <si>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</si>
  <si>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</si>
  <si>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</si>
  <si>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</si>
  <si>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</si>
  <si>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</si>
  <si>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</si>
  <si>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</si>
  <si>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</si>
  <si>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</si>
  <si>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</si>
  <si>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</si>
  <si>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</si>
  <si>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</si>
  <si>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</si>
  <si>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</si>
  <si>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</si>
  <si>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</si>
  <si>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</si>
  <si>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</si>
  <si>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</si>
  <si>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</si>
  <si>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</si>
  <si>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</si>
  <si>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</si>
  <si>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</si>
  <si>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</si>
  <si>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</si>
  <si>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</si>
  <si>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</si>
  <si>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</si>
  <si>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</si>
  <si>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</si>
  <si>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</si>
  <si>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</si>
  <si>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</si>
  <si>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</si>
  <si>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</si>
  <si>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</si>
  <si>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</si>
  <si>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</si>
  <si>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</si>
  <si>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</si>
  <si>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</si>
  <si>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</si>
  <si>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</si>
  <si>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</si>
  <si>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</si>
  <si>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</si>
  <si>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</si>
  <si>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</si>
  <si>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</si>
  <si>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</si>
  <si>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</si>
  <si>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</si>
  <si>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</si>
  <si>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</si>
  <si>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</si>
  <si>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</si>
  <si>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</si>
  <si>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</si>
  <si>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</si>
  <si>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</si>
  <si>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</si>
  <si>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</si>
  <si>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</si>
  <si>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</si>
  <si>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</si>
  <si>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</si>
  <si>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</si>
  <si>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</si>
  <si>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</si>
  <si>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</si>
  <si>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</si>
  <si>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</si>
  <si>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</si>
  <si>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</si>
  <si>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</si>
  <si>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</si>
  <si>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</si>
  <si>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</si>
  <si>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</si>
  <si>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</si>
  <si>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</si>
  <si>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</si>
  <si>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</si>
  <si>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</si>
  <si>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</si>
  <si>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</si>
  <si>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</si>
  <si>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</si>
  <si>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</si>
  <si>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</si>
  <si>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</si>
  <si>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</si>
  <si>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</si>
  <si>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</si>
  <si>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</si>
  <si>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</si>
  <si>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</si>
  <si>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</si>
  <si>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</si>
  <si>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</si>
  <si>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</si>
  <si>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</si>
  <si>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</si>
  <si>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</si>
  <si>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</si>
  <si>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</si>
  <si>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</si>
  <si>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</si>
  <si>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</si>
  <si>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</si>
  <si>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</si>
  <si>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</si>
  <si>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</si>
  <si>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</si>
  <si>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</si>
  <si>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</si>
  <si>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</si>
  <si>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</si>
  <si>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</si>
  <si>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</si>
  <si>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</si>
  <si>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</si>
  <si>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</si>
  <si>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</si>
  <si>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</si>
  <si>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</si>
  <si>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</si>
  <si>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</si>
  <si>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</si>
  <si>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</si>
  <si>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</si>
  <si>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</si>
  <si>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</si>
  <si>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</si>
  <si>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</si>
  <si>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</si>
  <si>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</si>
  <si>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</si>
  <si>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</si>
  <si>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</si>
  <si>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</si>
  <si>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</si>
  <si>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</si>
  <si>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</si>
  <si>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</si>
  <si>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</si>
  <si>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</si>
  <si>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</si>
  <si>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</si>
  <si>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</si>
  <si>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</si>
  <si>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</si>
  <si>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</si>
  <si>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</si>
  <si>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</si>
  <si>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</si>
  <si>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</si>
  <si>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</si>
  <si>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</si>
  <si>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</si>
  <si>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</si>
  <si>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</si>
  <si>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</si>
  <si>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</si>
  <si>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</si>
  <si>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</si>
  <si>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</si>
  <si>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</si>
  <si>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</si>
  <si>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</si>
  <si>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</si>
  <si>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</si>
  <si>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</si>
  <si>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</si>
  <si>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</si>
  <si>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</si>
  <si>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</si>
  <si>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</si>
  <si>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</si>
  <si>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</si>
  <si>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</si>
  <si>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</si>
  <si>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</si>
  <si>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</si>
  <si>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</si>
  <si>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</si>
  <si>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</si>
  <si>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</si>
  <si>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</si>
  <si>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</si>
  <si>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</si>
  <si>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</si>
  <si>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</si>
  <si>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</si>
  <si>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</si>
  <si>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</si>
  <si>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</si>
  <si>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</si>
  <si>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</si>
  <si>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</si>
  <si>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</si>
  <si>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</si>
  <si>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</si>
  <si>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</si>
  <si>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</si>
  <si>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</si>
  <si>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</si>
  <si>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</si>
  <si>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</si>
  <si>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</si>
  <si>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</si>
  <si>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</si>
  <si>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</si>
  <si>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</si>
  <si>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</si>
  <si>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</si>
  <si>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</si>
  <si>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</si>
  <si>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</si>
  <si>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</si>
  <si>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</si>
  <si>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</si>
  <si>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</si>
  <si>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</si>
  <si>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</si>
  <si>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</si>
  <si>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</si>
  <si>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</si>
  <si>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</si>
  <si>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</si>
  <si>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</si>
  <si>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</si>
  <si>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</si>
  <si>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</si>
  <si>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</si>
  <si>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</si>
  <si>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</si>
  <si>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</si>
  <si>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</si>
  <si>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</si>
  <si>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</si>
  <si>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</si>
  <si>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</si>
  <si>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</si>
  <si>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</si>
  <si>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</si>
  <si>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</si>
  <si>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</si>
  <si>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</si>
  <si>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</si>
  <si>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</si>
  <si>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</si>
  <si>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</si>
  <si>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</si>
  <si>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</si>
  <si>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</si>
  <si>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</si>
  <si>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</si>
  <si>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</si>
  <si>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</si>
  <si>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</si>
  <si>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</si>
  <si>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</si>
  <si>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</si>
  <si>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</si>
  <si>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</si>
  <si>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</si>
  <si>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</si>
  <si>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</si>
  <si>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</si>
  <si>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</si>
  <si>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</si>
  <si>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</si>
  <si>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</si>
  <si>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</si>
  <si>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</si>
  <si>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</si>
  <si>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</si>
  <si>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</si>
  <si>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</si>
  <si>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</si>
  <si>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</si>
  <si>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</si>
  <si>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</si>
  <si>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</si>
  <si>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</si>
  <si>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</si>
  <si>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</si>
  <si>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</si>
  <si>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</si>
  <si>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</si>
  <si>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</si>
  <si>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</si>
  <si>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</si>
  <si>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</si>
  <si>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</si>
  <si>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</si>
  <si>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</si>
  <si>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</si>
  <si>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</si>
  <si>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</si>
  <si>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</si>
  <si>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</si>
  <si>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</si>
  <si>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</si>
  <si>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</si>
  <si>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</si>
  <si>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</si>
  <si>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</si>
  <si>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</si>
  <si>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</si>
  <si>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</si>
  <si>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</si>
  <si>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</si>
  <si>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</si>
  <si>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</si>
  <si>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</si>
  <si>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</si>
  <si>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</si>
  <si>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</si>
  <si>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</si>
  <si>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</si>
  <si>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</si>
  <si>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</si>
  <si>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</si>
  <si>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</si>
  <si>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</si>
  <si>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</si>
  <si>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</si>
  <si>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</si>
  <si>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</si>
  <si>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</si>
  <si>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</si>
  <si>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</si>
  <si>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</si>
  <si>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</si>
  <si>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</si>
  <si>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</si>
  <si>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</si>
  <si>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</si>
  <si>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</si>
  <si>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</si>
  <si>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</si>
  <si>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</si>
  <si>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</si>
  <si>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</si>
  <si>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</si>
  <si>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</si>
  <si>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</si>
  <si>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</si>
  <si>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</si>
  <si>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</si>
  <si>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</si>
  <si>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</si>
  <si>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</si>
  <si>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</si>
  <si>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</si>
  <si>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</si>
  <si>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</si>
  <si>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</si>
  <si>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</si>
  <si>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</si>
  <si>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</si>
  <si>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</si>
  <si>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</si>
  <si>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</si>
  <si>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</si>
  <si>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</si>
  <si>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</si>
  <si>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</si>
  <si>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</si>
  <si>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</si>
  <si>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</si>
  <si>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</si>
  <si>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</si>
  <si>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</si>
  <si>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</si>
  <si>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</si>
  <si>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</si>
  <si>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</si>
  <si>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</si>
  <si>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</si>
  <si>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</si>
  <si>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</si>
  <si>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</si>
  <si>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</si>
  <si>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</si>
  <si>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</si>
  <si>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</si>
  <si>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</si>
  <si>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</si>
  <si>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</si>
  <si>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</si>
  <si>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</si>
  <si>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</si>
  <si>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</si>
  <si>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</si>
  <si>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</si>
  <si>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</si>
  <si>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</si>
  <si>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</si>
  <si>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</si>
  <si>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</si>
  <si>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</si>
  <si>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</si>
  <si>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</si>
  <si>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</si>
  <si>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</si>
  <si>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</si>
  <si>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</si>
  <si>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</si>
  <si>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</si>
  <si>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</si>
  <si>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</si>
  <si>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</si>
  <si>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</si>
  <si>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</si>
  <si>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</si>
  <si>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</si>
  <si>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</si>
  <si>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</si>
  <si>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</si>
  <si>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</si>
  <si>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</si>
  <si>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</si>
  <si>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</si>
  <si>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</si>
  <si>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</si>
  <si>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</si>
  <si>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</si>
  <si>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</si>
  <si>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</si>
  <si>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</si>
  <si>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</si>
  <si>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</si>
  <si>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</si>
  <si>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</si>
  <si>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</si>
  <si>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</si>
  <si>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</si>
  <si>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</si>
  <si>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</si>
  <si>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</si>
  <si>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</si>
  <si>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</si>
  <si>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</si>
  <si>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</si>
  <si>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</si>
  <si>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</si>
  <si>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</si>
  <si>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</si>
  <si>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</si>
  <si>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</si>
  <si>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</si>
  <si>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</si>
  <si>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</si>
  <si>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</si>
  <si>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</si>
  <si>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</si>
  <si>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</si>
  <si>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</si>
  <si>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</si>
  <si>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</si>
  <si>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</si>
  <si>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</si>
  <si>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</si>
  <si>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</si>
  <si>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</si>
  <si>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</si>
  <si>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</si>
  <si>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</si>
  <si>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</si>
  <si>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</si>
  <si>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</si>
  <si>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</si>
  <si>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</si>
  <si>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</si>
  <si>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</si>
  <si>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</si>
  <si>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</si>
  <si>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</si>
  <si>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</si>
  <si>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</si>
  <si>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</si>
  <si>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</si>
  <si>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</si>
  <si>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</si>
  <si>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</si>
  <si>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</si>
  <si>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</si>
  <si>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</si>
  <si>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</si>
  <si>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</si>
  <si>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</si>
  <si>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</si>
  <si>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</si>
  <si>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</si>
  <si>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</si>
  <si>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</si>
  <si>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</si>
  <si>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</si>
  <si>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</si>
  <si>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</si>
  <si>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</si>
  <si>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</si>
  <si>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</si>
  <si>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</si>
  <si>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</si>
  <si>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</si>
  <si>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</si>
  <si>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</si>
  <si>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</si>
  <si>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</si>
  <si>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</si>
  <si>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</si>
  <si>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</si>
  <si>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</si>
  <si>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</si>
  <si>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</si>
  <si>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</si>
  <si>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</si>
  <si>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</si>
  <si>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</si>
  <si>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</si>
  <si>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</si>
  <si>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</si>
  <si>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</si>
  <si>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</si>
  <si>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</si>
  <si>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</si>
  <si>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</si>
  <si>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</si>
  <si>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</si>
  <si>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</si>
  <si>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</si>
  <si>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</si>
  <si>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</si>
  <si>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</si>
  <si>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</si>
  <si>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</si>
  <si>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</si>
  <si>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</si>
  <si>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</si>
  <si>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</si>
  <si>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</si>
  <si>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</si>
  <si>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</si>
  <si>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</si>
  <si>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</si>
  <si>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</si>
  <si>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</si>
  <si>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</si>
  <si>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</si>
  <si>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</si>
  <si>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</si>
  <si>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</si>
  <si>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</si>
  <si>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</si>
  <si>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</si>
  <si>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</si>
  <si>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</si>
  <si>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</si>
  <si>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</si>
  <si>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</si>
  <si>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</si>
  <si>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</si>
  <si>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</si>
  <si>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</si>
  <si>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</si>
  <si>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</si>
  <si>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</si>
  <si>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</si>
  <si>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</si>
  <si>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</si>
  <si>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</si>
  <si>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</si>
  <si>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</si>
  <si>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</si>
  <si>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</si>
  <si>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</si>
  <si>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</si>
  <si>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</si>
  <si>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</si>
  <si>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</si>
  <si>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</si>
  <si>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</si>
  <si>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</si>
  <si>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</si>
  <si>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</si>
  <si>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</si>
  <si>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</si>
  <si>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</si>
  <si>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</si>
  <si>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</si>
  <si>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</si>
  <si>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</si>
  <si>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</si>
  <si>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</si>
  <si>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</si>
  <si>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</si>
  <si>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</si>
  <si>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</si>
  <si>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</si>
  <si>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</si>
  <si>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</si>
  <si>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</si>
  <si>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</si>
  <si>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</si>
  <si>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</si>
  <si>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</si>
  <si>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</si>
  <si>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</si>
  <si>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</si>
  <si>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</si>
  <si>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</si>
  <si>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</si>
  <si>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</si>
  <si>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</si>
  <si>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</si>
  <si>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</si>
  <si>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</si>
  <si>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</si>
  <si>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</si>
  <si>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</si>
  <si>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</si>
  <si>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</si>
  <si>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</si>
  <si>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</si>
  <si>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</si>
  <si>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</si>
  <si>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</si>
  <si>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</si>
  <si>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</si>
  <si>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</si>
  <si>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</si>
  <si>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</si>
  <si>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</si>
  <si>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</si>
  <si>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</si>
  <si>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</si>
  <si>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</si>
  <si>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</si>
  <si>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</si>
  <si>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</si>
  <si>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</si>
  <si>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</si>
  <si>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</si>
  <si>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</si>
  <si>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</si>
  <si>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</si>
  <si>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</si>
  <si>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</si>
  <si>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</si>
  <si>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</si>
  <si>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</si>
  <si>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</si>
  <si>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</si>
  <si>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</si>
  <si>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</si>
  <si>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</si>
  <si>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</si>
  <si>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</si>
  <si>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</si>
  <si>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</si>
  <si>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</si>
  <si>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</si>
  <si>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</si>
  <si>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</si>
  <si>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</si>
  <si>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</si>
  <si>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</si>
  <si>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</si>
  <si>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</si>
  <si>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</si>
  <si>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</si>
  <si>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</si>
  <si>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</si>
  <si>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</si>
  <si>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</si>
  <si>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</si>
  <si>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</si>
  <si>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</si>
  <si>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</si>
  <si>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</si>
  <si>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</si>
  <si>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</si>
  <si>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</si>
  <si>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</si>
  <si>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</si>
  <si>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</si>
  <si>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</si>
  <si>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</si>
  <si>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</si>
  <si>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</si>
  <si>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</si>
  <si>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</si>
  <si>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</si>
  <si>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</si>
  <si>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</si>
  <si>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</si>
  <si>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</si>
  <si>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</si>
  <si>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</si>
  <si>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</si>
  <si>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</si>
  <si>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</si>
  <si>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</si>
  <si>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</si>
  <si>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</si>
  <si>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</si>
  <si>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</si>
  <si>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</si>
  <si>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</si>
  <si>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</si>
  <si>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</si>
  <si>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</si>
  <si>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</si>
  <si>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</si>
  <si>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</si>
  <si>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</si>
  <si>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</si>
  <si>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</si>
  <si>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</si>
  <si>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</si>
  <si>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</si>
  <si>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</si>
  <si>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</si>
  <si>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</si>
  <si>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</si>
  <si>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</si>
  <si>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</si>
  <si>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</si>
  <si>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</si>
  <si>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</si>
  <si>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</si>
  <si>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</si>
  <si>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</si>
  <si>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</si>
  <si>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</si>
  <si>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</si>
  <si>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</si>
  <si>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</si>
  <si>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</si>
  <si>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</si>
  <si>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</si>
  <si>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</si>
  <si>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</si>
  <si>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</si>
  <si>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</si>
  <si>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</si>
  <si>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</si>
  <si>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</si>
  <si>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</si>
  <si>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</si>
  <si>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</si>
  <si>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</si>
  <si>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</si>
  <si>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</si>
  <si>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</si>
  <si>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</si>
  <si>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</si>
  <si>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</si>
  <si>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</si>
  <si>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</si>
  <si>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</si>
  <si>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</si>
  <si>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</si>
  <si>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</si>
  <si>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</si>
  <si>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</si>
  <si>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</si>
  <si>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</si>
  <si>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</si>
  <si>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</si>
  <si>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</si>
  <si>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</si>
  <si>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</si>
  <si>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</si>
  <si>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</si>
  <si>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</si>
  <si>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</si>
  <si>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</si>
  <si>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</si>
  <si>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</si>
  <si>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</si>
  <si>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</si>
  <si>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</si>
  <si>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</si>
  <si>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</si>
  <si>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</si>
  <si>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</si>
  <si>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</si>
  <si>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</si>
  <si>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</si>
  <si>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</si>
  <si>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</si>
  <si>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</si>
  <si>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</si>
  <si>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</si>
  <si>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</si>
  <si>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</si>
  <si>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</si>
  <si>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</si>
  <si>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</si>
  <si>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</si>
  <si>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</si>
  <si>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</si>
  <si>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</si>
  <si>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</si>
  <si>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</si>
  <si>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</si>
  <si>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</si>
  <si>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</si>
  <si>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</si>
  <si>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</si>
  <si>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</si>
  <si>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</si>
  <si>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</si>
  <si>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</si>
  <si>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</si>
  <si>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</si>
  <si>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</si>
  <si>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</si>
  <si>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</si>
  <si>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</si>
  <si>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</si>
  <si>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</si>
  <si>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</si>
  <si>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</si>
  <si>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</si>
  <si>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</si>
  <si>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</si>
  <si>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</si>
  <si>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</si>
  <si>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</si>
  <si>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</si>
  <si>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</si>
  <si>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</si>
  <si>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</si>
  <si>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</si>
  <si>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</si>
  <si>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</si>
  <si>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</si>
  <si>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</si>
  <si>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</si>
  <si>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</si>
  <si>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</si>
  <si>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</si>
  <si>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</si>
  <si>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</si>
  <si>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</si>
  <si>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</si>
  <si>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</si>
  <si>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</si>
  <si>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</si>
  <si>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</si>
  <si>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</si>
  <si>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</si>
  <si>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</si>
  <si>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</si>
  <si>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</si>
  <si>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</si>
  <si>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</si>
  <si>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</si>
  <si>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</si>
  <si>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</si>
  <si>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</si>
  <si>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</si>
  <si>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</si>
  <si>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</si>
  <si>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</si>
  <si>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</si>
  <si>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</si>
  <si>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</si>
  <si>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</si>
  <si>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</si>
  <si>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</si>
  <si>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</si>
  <si>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</si>
  <si>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</si>
  <si>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</si>
  <si>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</si>
  <si>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</si>
  <si>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</si>
  <si>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</si>
  <si>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</si>
  <si>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</si>
  <si>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</si>
  <si>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</si>
  <si>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</si>
  <si>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</si>
  <si>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</si>
  <si>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</si>
  <si>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</si>
  <si>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</si>
  <si>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</si>
  <si>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</si>
  <si>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</si>
  <si>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</si>
  <si>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</si>
  <si>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</si>
  <si>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</si>
  <si>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</si>
  <si>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</si>
  <si>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</si>
  <si>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</si>
  <si>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</si>
  <si>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</si>
  <si>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</si>
  <si>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</si>
  <si>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</si>
  <si>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</si>
  <si>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</si>
  <si>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</si>
  <si>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</si>
  <si>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</si>
  <si>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</si>
  <si>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</si>
  <si>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</si>
  <si>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</si>
  <si>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</si>
  <si>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</si>
  <si>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</si>
  <si>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</si>
  <si>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</si>
  <si>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</si>
  <si>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</si>
  <si>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</si>
  <si>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</si>
  <si>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</si>
  <si>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</si>
  <si>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</si>
  <si>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</si>
  <si>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</si>
  <si>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</si>
  <si>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</si>
  <si>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</si>
  <si>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</si>
  <si>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</si>
  <si>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</si>
  <si>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</si>
  <si>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</si>
  <si>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</si>
  <si>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</si>
  <si>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</si>
  <si>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</si>
  <si>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</si>
  <si>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</si>
  <si>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</si>
  <si>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</si>
  <si>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</si>
  <si>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</si>
  <si>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</si>
  <si>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</si>
  <si>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</si>
  <si>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</si>
  <si>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</si>
  <si>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</si>
  <si>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</si>
  <si>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</si>
  <si>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</si>
  <si>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</si>
  <si>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</si>
  <si>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</si>
  <si>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</si>
  <si>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</si>
  <si>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</si>
  <si>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</si>
  <si>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</si>
  <si>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</si>
  <si>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</si>
  <si>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</si>
  <si>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</si>
  <si>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</si>
  <si>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</si>
  <si>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</si>
  <si>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</si>
  <si>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</si>
  <si>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</si>
  <si>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</si>
  <si>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</si>
  <si>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</si>
  <si>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</si>
  <si>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</si>
  <si>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</si>
  <si>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</si>
  <si>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</si>
  <si>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</si>
  <si>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</si>
  <si>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</si>
  <si>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</si>
  <si>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</si>
  <si>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</si>
  <si>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</si>
  <si>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</si>
  <si>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</si>
  <si>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</si>
  <si>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</si>
  <si>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</si>
  <si>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</si>
  <si>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</si>
  <si>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</si>
  <si>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</si>
  <si>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</si>
  <si>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</si>
  <si>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</si>
  <si>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</si>
  <si>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</si>
  <si>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</si>
  <si>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</si>
  <si>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</si>
  <si>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</si>
  <si>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</si>
  <si>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</si>
  <si>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</si>
  <si>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</si>
  <si>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</si>
  <si>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</si>
  <si>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</si>
  <si>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</si>
  <si>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</si>
  <si>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</si>
  <si>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</si>
  <si>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</si>
  <si>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</si>
  <si>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</si>
  <si>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</si>
  <si>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</si>
  <si>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</si>
  <si>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</si>
  <si>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</si>
  <si>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</si>
  <si>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</si>
  <si>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</si>
  <si>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</si>
  <si>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</si>
  <si>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</si>
  <si>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</si>
  <si>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</si>
  <si>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</si>
  <si>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</si>
  <si>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</si>
  <si>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</si>
  <si>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</si>
  <si>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</si>
  <si>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</si>
  <si>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</si>
  <si>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</si>
  <si>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</si>
  <si>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</si>
  <si>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</si>
  <si>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</si>
  <si>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</si>
  <si>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</si>
  <si>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</si>
  <si>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</si>
  <si>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</si>
  <si>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</si>
  <si>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</si>
  <si>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</si>
  <si>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</si>
  <si>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</si>
  <si>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</si>
  <si>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</si>
  <si>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</si>
  <si>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</si>
  <si>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</si>
  <si>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</si>
  <si>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</si>
  <si>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</si>
  <si>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</si>
  <si>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</si>
  <si>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</si>
  <si>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</si>
  <si>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</si>
  <si>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</si>
  <si>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</si>
  <si>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</si>
  <si>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</si>
  <si>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</si>
  <si>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</si>
  <si>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</si>
  <si>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</si>
  <si>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</si>
  <si>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</si>
  <si>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</si>
  <si>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</si>
  <si>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</si>
  <si>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</si>
  <si>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</si>
  <si>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</si>
  <si>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</si>
  <si>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</si>
  <si>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</si>
  <si>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</si>
  <si>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</si>
  <si>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</si>
  <si>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</si>
  <si>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</si>
  <si>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</si>
  <si>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</si>
  <si>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</si>
  <si>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</si>
  <si>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</si>
  <si>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</si>
  <si>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</si>
  <si>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</si>
  <si>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</si>
  <si>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</si>
  <si>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</si>
  <si>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</si>
  <si>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</si>
  <si>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</si>
  <si>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</si>
  <si>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</si>
  <si>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</si>
  <si>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</si>
  <si>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</si>
  <si>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</si>
  <si>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</si>
  <si>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</si>
  <si>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</si>
  <si>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</si>
  <si>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</si>
  <si>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</si>
  <si>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</si>
  <si>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</si>
  <si>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</si>
  <si>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</si>
  <si>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</si>
  <si>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</si>
  <si>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</si>
  <si>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</si>
  <si>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</si>
  <si>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</si>
  <si>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</si>
  <si>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</si>
  <si>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</si>
  <si>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</si>
  <si>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</si>
  <si>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</si>
  <si>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</si>
  <si>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</si>
  <si>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</si>
  <si>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</si>
  <si>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</si>
  <si>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</si>
  <si>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</si>
  <si>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</si>
  <si>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</si>
  <si>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</si>
  <si>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</si>
  <si>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</si>
  <si>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</si>
  <si>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</si>
  <si>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</si>
  <si>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</si>
  <si>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</si>
  <si>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</si>
  <si>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</si>
  <si>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</si>
  <si>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</si>
  <si>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</si>
  <si>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</si>
  <si>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</si>
  <si>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</si>
  <si>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</si>
  <si>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</si>
  <si>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</si>
  <si>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</si>
  <si>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</si>
  <si>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</si>
  <si>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</si>
  <si>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</si>
  <si>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</si>
  <si>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</si>
  <si>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</si>
  <si>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</si>
  <si>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</si>
  <si>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</si>
  <si>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</si>
  <si>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</si>
  <si>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</si>
  <si>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</si>
  <si>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</si>
  <si>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</si>
  <si>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</si>
  <si>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</si>
  <si>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</si>
  <si>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</si>
  <si>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</si>
  <si>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</si>
  <si>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</si>
  <si>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</si>
  <si>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</si>
  <si>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</si>
  <si>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</si>
  <si>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</si>
  <si>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</si>
  <si>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</si>
  <si>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</si>
  <si>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</si>
  <si>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</si>
  <si>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</si>
  <si>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</si>
  <si>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</si>
  <si>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</si>
  <si>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</si>
  <si>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</si>
  <si>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</si>
  <si>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</si>
  <si>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</si>
  <si>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</si>
  <si>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</si>
  <si>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</si>
  <si>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</si>
  <si>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</si>
  <si>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</si>
  <si>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</si>
  <si>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</si>
  <si>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</si>
  <si>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</si>
  <si>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</si>
  <si>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</si>
  <si>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</si>
  <si>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</si>
  <si>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</si>
  <si>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</si>
  <si>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</si>
  <si>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</si>
  <si>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</si>
  <si>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</si>
  <si>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</si>
  <si>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</si>
  <si>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</si>
  <si>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</si>
  <si>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</si>
  <si>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</si>
  <si>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</si>
  <si>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</si>
  <si>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</si>
  <si>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</si>
  <si>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</si>
  <si>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</si>
  <si>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</si>
  <si>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</si>
  <si>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</si>
  <si>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</si>
  <si>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</si>
  <si>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</si>
  <si>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</si>
  <si>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</si>
  <si>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</si>
  <si>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</si>
  <si>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</si>
  <si>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</si>
  <si>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</si>
  <si>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</si>
  <si>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</si>
  <si>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</si>
  <si>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</si>
  <si>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</si>
  <si>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</si>
  <si>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</si>
  <si>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</si>
  <si>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</si>
  <si>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</si>
  <si>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</si>
  <si>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</si>
  <si>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</si>
  <si>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</si>
  <si>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</si>
  <si>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</si>
  <si>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</si>
  <si>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</si>
  <si>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</si>
  <si>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</si>
  <si>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</si>
  <si>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</si>
  <si>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</si>
  <si>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</si>
  <si>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</si>
  <si>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</si>
  <si>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</si>
  <si>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</si>
  <si>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</si>
  <si>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</si>
  <si>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</si>
  <si>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</si>
  <si>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</si>
  <si>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</si>
  <si>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</si>
  <si>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</si>
  <si>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</si>
  <si>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</si>
  <si>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</si>
  <si>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</si>
  <si>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</si>
  <si>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</si>
  <si>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</si>
  <si>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</si>
  <si>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</si>
  <si>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</si>
  <si>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</si>
  <si>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</si>
  <si>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</si>
  <si>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</si>
  <si>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</si>
  <si>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</si>
  <si>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</si>
  <si>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</si>
  <si>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</si>
  <si>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</si>
  <si>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</si>
  <si>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</si>
  <si>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</si>
  <si>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</si>
  <si>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</si>
  <si>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</si>
  <si>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</si>
  <si>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</si>
  <si>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</si>
  <si>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</si>
  <si>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</si>
  <si>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</si>
  <si>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</si>
  <si>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</si>
  <si>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</si>
  <si>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</si>
  <si>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</si>
  <si>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</si>
  <si>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</si>
  <si>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</si>
  <si>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</si>
  <si>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</si>
  <si>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</si>
  <si>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</si>
  <si>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</si>
  <si>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</si>
  <si>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</si>
  <si>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</si>
  <si>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</si>
  <si>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</si>
  <si>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</si>
  <si>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</si>
  <si>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</si>
  <si>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</si>
  <si>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</si>
  <si>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</si>
  <si>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</si>
  <si>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</si>
  <si>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</si>
  <si>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</si>
  <si>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</si>
  <si>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</si>
  <si>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</si>
  <si>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</si>
  <si>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</si>
  <si>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</si>
  <si>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</si>
  <si>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</si>
  <si>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</si>
  <si>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</si>
  <si>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</si>
  <si>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</si>
  <si>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</si>
  <si>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</si>
  <si>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</si>
  <si>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</si>
  <si>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</si>
  <si>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</si>
  <si>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</si>
  <si>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</si>
  <si>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</si>
  <si>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</si>
  <si>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</si>
  <si>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</si>
  <si>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</si>
  <si>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</si>
  <si>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</si>
  <si>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</si>
  <si>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</si>
  <si>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</si>
  <si>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</si>
  <si>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</si>
  <si>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</si>
  <si>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</si>
  <si>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</si>
  <si>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</si>
  <si>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</si>
  <si>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</si>
  <si>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</si>
  <si>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</si>
  <si>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</si>
  <si>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</si>
  <si>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</si>
  <si>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</si>
  <si>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</si>
  <si>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</si>
  <si>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</si>
  <si>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</si>
  <si>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</si>
  <si>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</si>
  <si>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</si>
  <si>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</si>
  <si>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</si>
  <si>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</si>
  <si>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</si>
  <si>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</si>
  <si>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</si>
  <si>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</si>
  <si>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</si>
  <si>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</si>
  <si>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</si>
  <si>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</si>
  <si>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</si>
  <si>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</si>
  <si>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</si>
  <si>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</si>
  <si>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</si>
  <si>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</si>
  <si>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</si>
  <si>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</si>
  <si>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</si>
  <si>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</si>
  <si>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</si>
  <si>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</si>
  <si>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</si>
  <si>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</si>
  <si>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</si>
  <si>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</si>
  <si>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</si>
  <si>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</si>
  <si>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</si>
  <si>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</si>
  <si>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</si>
  <si>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</si>
  <si>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</si>
  <si>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</si>
  <si>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</si>
  <si>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</si>
  <si>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</si>
  <si>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</si>
  <si>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</si>
  <si>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</si>
  <si>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</si>
  <si>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</si>
  <si>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</si>
  <si>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</si>
  <si>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</si>
  <si>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</si>
  <si>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</si>
  <si>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</si>
  <si>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</si>
  <si>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</si>
  <si>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</si>
  <si>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</si>
  <si>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</si>
  <si>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</si>
  <si>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</si>
  <si>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</si>
  <si>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</si>
  <si>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</si>
  <si>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</si>
  <si>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</si>
  <si>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</si>
  <si>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</si>
  <si>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</si>
  <si>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</si>
  <si>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</si>
  <si>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</si>
  <si>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</si>
  <si>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</si>
  <si>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</si>
  <si>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</si>
  <si>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</si>
  <si>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</si>
  <si>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</si>
  <si>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</si>
  <si>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</si>
  <si>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</si>
  <si>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</si>
  <si>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</si>
  <si>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</si>
  <si>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</si>
  <si>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</si>
  <si>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</si>
  <si>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</si>
  <si>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</si>
  <si>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</si>
  <si>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</si>
  <si>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</si>
  <si>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</si>
  <si>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</si>
  <si>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</si>
  <si>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</si>
  <si>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</si>
  <si>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</si>
  <si>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</si>
  <si>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</si>
  <si>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</si>
  <si>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</si>
  <si>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</si>
  <si>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</si>
  <si>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</si>
  <si>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</si>
  <si>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</si>
  <si>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</si>
  <si>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</si>
  <si>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</si>
  <si>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</si>
  <si>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</si>
  <si>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</si>
  <si>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</si>
  <si>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</si>
  <si>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</si>
  <si>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</si>
  <si>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</si>
  <si>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</si>
  <si>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</si>
  <si>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</si>
  <si>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</si>
  <si>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</si>
  <si>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</si>
  <si>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</si>
  <si>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</si>
  <si>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</si>
  <si>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</si>
  <si>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</si>
  <si>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</si>
  <si>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</si>
  <si>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</si>
  <si>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</si>
  <si>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</si>
  <si>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</si>
  <si>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</si>
  <si>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</si>
  <si>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</si>
  <si>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</si>
  <si>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</si>
  <si>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</si>
  <si>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</si>
  <si>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</si>
  <si>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</si>
  <si>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</si>
  <si>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</si>
  <si>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</si>
  <si>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</si>
  <si>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</si>
  <si>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</si>
  <si>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</si>
  <si>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</si>
  <si>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</si>
  <si>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</si>
  <si>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</si>
  <si>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</si>
  <si>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</si>
  <si>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</si>
  <si>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</si>
  <si>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</si>
  <si>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</si>
  <si>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</si>
  <si>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</si>
  <si>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</si>
  <si>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</si>
  <si>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</si>
  <si>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</si>
  <si>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</si>
  <si>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</si>
  <si>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</si>
  <si>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</si>
  <si>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</si>
  <si>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</si>
  <si>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</si>
  <si>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</si>
  <si>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</si>
  <si>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</si>
  <si>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</si>
  <si>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</si>
  <si>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</si>
  <si>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</si>
  <si>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</si>
  <si>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</si>
  <si>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</si>
  <si>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</si>
  <si>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</si>
  <si>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</si>
  <si>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</si>
  <si>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</si>
  <si>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</si>
  <si>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</si>
  <si>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</si>
  <si>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</si>
  <si>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</si>
  <si>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</si>
  <si>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</si>
  <si>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</si>
  <si>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</si>
  <si>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</si>
  <si>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</si>
  <si>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</si>
  <si>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</si>
  <si>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</si>
  <si>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</si>
  <si>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</si>
  <si>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</si>
  <si>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</si>
  <si>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</si>
  <si>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</si>
  <si>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</si>
  <si>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</si>
  <si>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</si>
  <si>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</si>
  <si>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</si>
  <si>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</si>
  <si>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</si>
  <si>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</si>
  <si>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</si>
  <si>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</si>
  <si>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</si>
  <si>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</si>
  <si>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</si>
  <si>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</si>
  <si>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</si>
  <si>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</si>
  <si>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</si>
  <si>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</si>
  <si>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</si>
  <si>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</si>
  <si>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</si>
  <si>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</si>
  <si>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</si>
  <si>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</si>
  <si>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</si>
  <si>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</si>
  <si>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</si>
  <si>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</si>
  <si>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</si>
  <si>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</si>
  <si>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</si>
  <si>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</si>
  <si>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</si>
  <si>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</si>
  <si>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</si>
  <si>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</si>
  <si>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</si>
  <si>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</si>
  <si>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</si>
  <si>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</si>
  <si>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</si>
  <si>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</si>
  <si>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</si>
  <si>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</si>
  <si>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</si>
  <si>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</si>
  <si>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</si>
  <si>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</si>
  <si>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</si>
  <si>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</si>
  <si>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</si>
  <si>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</si>
  <si>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</si>
  <si>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</si>
  <si>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</si>
  <si>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</si>
  <si>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</si>
  <si>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</si>
  <si>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</si>
  <si>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</si>
  <si>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</si>
  <si>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</si>
  <si>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</si>
  <si>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</si>
  <si>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</si>
  <si>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</si>
  <si>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</si>
  <si>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</si>
  <si>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</si>
  <si>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</si>
  <si>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</si>
  <si>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</si>
  <si>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</si>
  <si>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</si>
  <si>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</si>
  <si>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</si>
  <si>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</si>
  <si>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</si>
  <si>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</si>
  <si>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</si>
  <si>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</si>
  <si>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</si>
  <si>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</si>
  <si>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</si>
  <si>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</si>
  <si>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</si>
  <si>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</si>
  <si>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</si>
  <si>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</si>
  <si>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</si>
  <si>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</si>
  <si>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</si>
  <si>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</si>
  <si>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</si>
  <si>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</si>
  <si>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</si>
  <si>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</si>
  <si>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</si>
  <si>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</si>
  <si>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</si>
  <si>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</si>
  <si>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</si>
  <si>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</si>
  <si>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</si>
  <si>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</si>
  <si>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</si>
  <si>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</si>
  <si>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</si>
  <si>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</si>
  <si>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</si>
  <si>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</si>
  <si>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</si>
  <si>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</si>
  <si>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</si>
  <si>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</si>
  <si>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</si>
  <si>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</si>
  <si>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</si>
  <si>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</si>
  <si>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</si>
  <si>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</si>
  <si>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</si>
  <si>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</si>
  <si>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</si>
  <si>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</si>
  <si>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</si>
  <si>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</si>
  <si>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</si>
  <si>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</si>
  <si>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</si>
  <si>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</si>
  <si>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</si>
  <si>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</si>
  <si>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</si>
  <si>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</si>
  <si>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</si>
  <si>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</si>
  <si>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</si>
  <si>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</si>
  <si>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</si>
  <si>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</si>
  <si>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</si>
  <si>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</si>
  <si>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</si>
  <si>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</si>
  <si>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</si>
  <si>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</si>
  <si>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</si>
  <si>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</si>
  <si>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</si>
  <si>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</si>
  <si>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</si>
  <si>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</si>
  <si>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</si>
  <si>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</si>
  <si>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</si>
  <si>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</si>
  <si>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</si>
  <si>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</si>
  <si>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</si>
  <si>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</si>
  <si>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</si>
  <si>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</si>
  <si>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</si>
  <si>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</si>
  <si>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</si>
  <si>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</si>
  <si>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</si>
  <si>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</si>
  <si>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</si>
  <si>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</si>
  <si>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</si>
  <si>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</si>
  <si>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</si>
  <si>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</si>
  <si>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</si>
  <si>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</si>
  <si>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</si>
  <si>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</si>
  <si>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</si>
  <si>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</si>
  <si>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</si>
  <si>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</si>
  <si>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</si>
  <si>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</si>
  <si>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</si>
  <si>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</si>
  <si>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</si>
  <si>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</si>
  <si>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</si>
  <si>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</si>
  <si>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</si>
  <si>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</si>
  <si>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</si>
  <si>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</si>
  <si>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</si>
  <si>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</si>
  <si>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</si>
  <si>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</si>
  <si>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</si>
  <si>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</si>
  <si>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</si>
  <si>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</si>
  <si>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</si>
  <si>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</si>
  <si>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</si>
  <si>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</si>
  <si>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</si>
  <si>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</si>
  <si>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</si>
  <si>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</si>
  <si>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</si>
  <si>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</si>
  <si>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</si>
  <si>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</si>
  <si>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</si>
  <si>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</si>
  <si>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</si>
  <si>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</si>
  <si>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</si>
  <si>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</si>
  <si>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</si>
  <si>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</si>
  <si>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</si>
  <si>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</si>
  <si>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</si>
  <si>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</si>
  <si>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</si>
  <si>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</si>
  <si>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</si>
  <si>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</si>
  <si>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</si>
  <si>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</si>
  <si>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</si>
  <si>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</si>
  <si>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</si>
  <si>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</si>
  <si>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</si>
  <si>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</si>
  <si>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</si>
  <si>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</si>
  <si>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</si>
  <si>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</si>
  <si>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</si>
  <si>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</si>
  <si>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</si>
  <si>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</si>
  <si>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</si>
  <si>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</si>
  <si>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</si>
  <si>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</si>
  <si>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</si>
  <si>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</si>
  <si>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</si>
  <si>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</si>
  <si>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</si>
  <si>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</si>
  <si>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</si>
  <si>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</si>
  <si>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</si>
  <si>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</si>
  <si>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</si>
  <si>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</si>
  <si>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</si>
  <si>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</si>
  <si>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</si>
  <si>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</si>
  <si>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</si>
  <si>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</si>
  <si>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</si>
  <si>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</si>
  <si>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</si>
  <si>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</si>
  <si>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</si>
  <si>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</si>
  <si>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</si>
  <si>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</si>
  <si>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</si>
  <si>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</si>
  <si>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</si>
  <si>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</si>
  <si>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</si>
  <si>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</si>
  <si>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</si>
  <si>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</si>
  <si>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</si>
  <si>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</si>
  <si>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</si>
  <si>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</si>
  <si>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</si>
  <si>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</si>
  <si>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</si>
  <si>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</si>
  <si>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</si>
  <si>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</si>
  <si>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</si>
  <si>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</si>
  <si>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</si>
  <si>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</si>
  <si>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</si>
  <si>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</si>
  <si>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</si>
  <si>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</si>
  <si>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</si>
  <si>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</si>
  <si>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</si>
  <si>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</si>
  <si>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</si>
  <si>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</si>
  <si>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</si>
  <si>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</si>
  <si>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</si>
  <si>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</si>
  <si>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</si>
  <si>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</si>
  <si>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</si>
  <si>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</si>
  <si>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</si>
  <si>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</si>
  <si>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</si>
  <si>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</si>
  <si>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</si>
  <si>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</si>
  <si>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</si>
  <si>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</si>
  <si>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</si>
  <si>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</si>
  <si>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</si>
  <si>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</si>
  <si>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</si>
  <si>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</si>
  <si>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</si>
  <si>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</si>
  <si>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</si>
  <si>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</si>
  <si>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</si>
  <si>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</si>
  <si>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</si>
  <si>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</si>
  <si>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</si>
  <si>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</si>
  <si>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</si>
  <si>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</si>
  <si>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</si>
  <si>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</si>
  <si>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</si>
  <si>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</si>
  <si>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</si>
  <si>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</si>
  <si>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</si>
  <si>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</si>
  <si>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</si>
  <si>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</si>
  <si>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</si>
  <si>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</si>
  <si>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</si>
  <si>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</si>
  <si>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</si>
  <si>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</si>
  <si>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</si>
  <si>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</si>
  <si>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</si>
  <si>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</si>
  <si>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</si>
  <si>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</si>
  <si>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</si>
  <si>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</si>
  <si>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</si>
  <si>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</si>
  <si>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</si>
  <si>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</si>
  <si>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</si>
  <si>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</si>
  <si>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</si>
  <si>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</si>
  <si>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</si>
  <si>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</si>
  <si>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</si>
  <si>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</si>
  <si>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</si>
  <si>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</si>
  <si>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</si>
  <si>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</si>
  <si>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</si>
  <si>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</si>
  <si>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</si>
  <si>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</si>
  <si>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</si>
  <si>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</si>
  <si>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</si>
  <si>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</si>
  <si>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</si>
  <si>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</si>
  <si>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</si>
  <si>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</si>
  <si>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</si>
  <si>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</si>
  <si>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</si>
  <si>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</si>
  <si>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</si>
  <si>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</si>
  <si>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</si>
  <si>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</si>
  <si>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</si>
  <si>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</si>
  <si>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</si>
  <si>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</si>
  <si>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</si>
  <si>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</si>
  <si>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</si>
  <si>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</si>
  <si>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</si>
  <si>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</si>
  <si>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</si>
  <si>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</si>
  <si>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</si>
  <si>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</si>
  <si>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</si>
  <si>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</si>
  <si>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</si>
  <si>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</si>
  <si>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</si>
  <si>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</si>
  <si>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</si>
  <si>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</si>
  <si>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</si>
  <si>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</si>
  <si>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</si>
  <si>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</si>
  <si>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</si>
  <si>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</si>
  <si>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</si>
  <si>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</si>
  <si>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</si>
  <si>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</si>
  <si>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</si>
  <si>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</si>
  <si>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</si>
  <si>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</si>
  <si>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</si>
  <si>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</si>
  <si>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</si>
  <si>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</si>
  <si>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</si>
  <si>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</si>
  <si>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</si>
  <si>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</si>
  <si>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</si>
  <si>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</si>
  <si>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</si>
  <si>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</si>
  <si>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</si>
  <si>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</si>
  <si>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</si>
  <si>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</si>
  <si>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</si>
  <si>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</si>
  <si>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</si>
  <si>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</si>
  <si>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</si>
  <si>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</si>
  <si>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</si>
  <si>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</si>
  <si>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</si>
  <si>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</si>
  <si>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</si>
  <si>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</si>
  <si>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</si>
  <si>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</si>
  <si>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</si>
  <si>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</si>
  <si>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</si>
  <si>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</si>
  <si>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</si>
  <si>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</si>
  <si>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</si>
  <si>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</si>
  <si>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</si>
  <si>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</si>
  <si>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</si>
  <si>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</si>
  <si>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</si>
  <si>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</si>
  <si>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</si>
  <si>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</si>
  <si>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</si>
  <si>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</si>
  <si>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</si>
  <si>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</si>
  <si>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</si>
  <si>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</si>
  <si>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</si>
  <si>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</si>
  <si>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</si>
  <si>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</si>
  <si>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</si>
  <si>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</si>
  <si>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</si>
  <si>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</si>
  <si>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</si>
  <si>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</si>
  <si>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</si>
  <si>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</si>
  <si>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</si>
  <si>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</si>
  <si>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</si>
  <si>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</si>
  <si>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</si>
  <si>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</si>
  <si>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</si>
  <si>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</si>
  <si>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</si>
  <si>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</si>
  <si>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</si>
  <si>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</si>
  <si>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</si>
  <si>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</si>
  <si>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</si>
  <si>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</si>
  <si>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</si>
  <si>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</si>
  <si>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</si>
  <si>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</si>
  <si>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</si>
  <si>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</si>
  <si>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</si>
  <si>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</si>
  <si>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</si>
  <si>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</si>
  <si>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</si>
  <si>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</si>
  <si>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</si>
  <si>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</si>
  <si>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</si>
  <si>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</si>
  <si>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</si>
  <si>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</si>
  <si>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</si>
  <si>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</si>
  <si>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</si>
  <si>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</si>
  <si>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</si>
  <si>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</si>
  <si>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</si>
  <si>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</si>
  <si>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</si>
  <si>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</si>
  <si>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</si>
  <si>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</si>
  <si>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</si>
  <si>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</si>
  <si>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</si>
  <si>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</si>
  <si>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</si>
  <si>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</si>
  <si>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</si>
  <si>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</si>
  <si>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</si>
  <si>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</si>
  <si>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</si>
  <si>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</si>
  <si>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</si>
  <si>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</si>
  <si>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</si>
  <si>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</si>
  <si>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</si>
  <si>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</si>
  <si>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</si>
  <si>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</si>
  <si>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</si>
  <si>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</si>
  <si>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</si>
  <si>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</si>
  <si>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</si>
  <si>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</si>
  <si>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</si>
  <si>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</si>
  <si>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</si>
  <si>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</si>
  <si>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</si>
  <si>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</si>
  <si>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</si>
  <si>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</si>
  <si>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</si>
  <si>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</si>
  <si>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</si>
  <si>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</si>
  <si>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</si>
  <si>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</si>
  <si>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</si>
  <si>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</si>
  <si>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</si>
  <si>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</si>
  <si>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</si>
  <si>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</si>
  <si>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</si>
  <si>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</si>
  <si>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</si>
  <si>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</si>
  <si>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</si>
  <si>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</si>
  <si>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</si>
  <si>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</si>
  <si>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</si>
  <si>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</si>
  <si>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</si>
  <si>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</si>
  <si>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</si>
  <si>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</si>
  <si>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</si>
  <si>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</si>
  <si>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</si>
  <si>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</si>
  <si>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</si>
  <si>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</si>
  <si>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</si>
  <si>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</si>
  <si>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</si>
  <si>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</si>
  <si>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</si>
  <si>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</si>
  <si>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</si>
  <si>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</si>
  <si>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</si>
  <si>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</si>
  <si>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</si>
  <si>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</si>
  <si>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</si>
  <si>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</si>
  <si>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</si>
  <si>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</si>
  <si>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</si>
  <si>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</si>
  <si>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</si>
  <si>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</si>
  <si>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</si>
  <si>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</si>
  <si>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</si>
  <si>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</si>
  <si>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</si>
  <si>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</si>
  <si>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</si>
  <si>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</si>
  <si>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</si>
  <si>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</si>
  <si>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</si>
  <si>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</si>
  <si>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</si>
  <si>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</si>
  <si>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</si>
  <si>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</si>
  <si>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</si>
  <si>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</si>
  <si>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</si>
  <si>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</si>
  <si>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</si>
  <si>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</si>
  <si>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</si>
  <si>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</si>
  <si>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</si>
  <si>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</si>
  <si>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</si>
  <si>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</si>
  <si>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</si>
  <si>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</si>
  <si>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</si>
  <si>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</si>
  <si>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</si>
  <si>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</si>
  <si>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</si>
  <si>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</si>
  <si>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</si>
  <si>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</si>
  <si>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</si>
  <si>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</si>
  <si>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</si>
  <si>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</si>
  <si>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</si>
  <si>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</si>
  <si>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</si>
  <si>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</si>
  <si>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</si>
  <si>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</si>
  <si>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</si>
  <si>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</si>
  <si>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</si>
  <si>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</si>
  <si>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</si>
  <si>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</si>
  <si>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</si>
  <si>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</si>
  <si>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</si>
  <si>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</si>
  <si>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</si>
  <si>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</si>
  <si>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</si>
  <si>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</si>
  <si>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</si>
  <si>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</si>
  <si>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</si>
  <si>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</si>
  <si>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</si>
  <si>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</si>
  <si>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</si>
  <si>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</si>
  <si>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</si>
  <si>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</si>
  <si>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</si>
  <si>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</si>
  <si>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</si>
  <si>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</si>
  <si>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</si>
  <si>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</si>
  <si>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</si>
  <si>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</si>
  <si>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</si>
  <si>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</si>
  <si>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</si>
  <si>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</si>
  <si>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</si>
  <si>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</si>
  <si>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</si>
  <si>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</si>
  <si>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</si>
  <si>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</si>
  <si>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</si>
  <si>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</si>
  <si>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</si>
  <si>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</si>
  <si>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</si>
  <si>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</si>
  <si>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</si>
  <si>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</si>
  <si>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</si>
  <si>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</si>
  <si>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</si>
  <si>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</si>
  <si>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</si>
  <si>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</si>
  <si>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</si>
  <si>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</si>
  <si>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</si>
  <si>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</si>
  <si>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</si>
  <si>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</si>
  <si>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</si>
  <si>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</si>
  <si>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</si>
  <si>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</si>
  <si>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</si>
  <si>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</si>
  <si>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</si>
  <si>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</si>
  <si>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</si>
  <si>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</si>
  <si>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</si>
  <si>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</si>
  <si>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</si>
  <si>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</si>
  <si>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</si>
  <si>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</si>
  <si>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</si>
  <si>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</si>
  <si>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</si>
  <si>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</si>
  <si>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</si>
  <si>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</si>
  <si>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</si>
  <si>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</si>
  <si>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</si>
  <si>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</si>
  <si>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</si>
  <si>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</si>
  <si>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</si>
  <si>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</si>
  <si>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</si>
  <si>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</si>
  <si>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</si>
  <si>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</si>
  <si>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</si>
  <si>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</si>
  <si>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</si>
  <si>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</si>
  <si>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</si>
  <si>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</si>
  <si>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</si>
  <si>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</si>
  <si>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</si>
  <si>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</si>
  <si>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</si>
  <si>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</si>
  <si>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</si>
  <si>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</si>
  <si>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</si>
  <si>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</si>
  <si>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</si>
  <si>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</si>
  <si>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</si>
  <si>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</si>
  <si>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</si>
  <si>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</si>
  <si>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</si>
  <si>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</si>
  <si>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</si>
  <si>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</si>
  <si>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</si>
  <si>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</si>
  <si>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</si>
  <si>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</si>
  <si>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</si>
  <si>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</si>
  <si>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</si>
  <si>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</si>
  <si>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</si>
  <si>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</si>
  <si>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</si>
  <si>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</si>
  <si>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</si>
  <si>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</si>
  <si>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</si>
  <si>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</si>
  <si>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</si>
  <si>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</si>
  <si>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</si>
  <si>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</si>
  <si>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</si>
  <si>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</si>
  <si>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</si>
  <si>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</si>
  <si>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</si>
  <si>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</si>
  <si>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</si>
  <si>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</si>
  <si>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</si>
  <si>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</si>
  <si>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</si>
  <si>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</si>
  <si>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</si>
  <si>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</si>
  <si>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</si>
  <si>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</si>
  <si>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</si>
  <si>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</si>
  <si>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</si>
  <si>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</si>
  <si>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</si>
  <si>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</si>
  <si>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</si>
  <si>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</si>
  <si>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</si>
  <si>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</si>
  <si>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</si>
  <si>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</si>
  <si>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</si>
  <si>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</si>
  <si>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</si>
  <si>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</si>
  <si>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</si>
  <si>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</si>
  <si>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</si>
  <si>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</si>
  <si>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</si>
  <si>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</si>
  <si>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</si>
  <si>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</si>
  <si>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</si>
  <si>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</si>
  <si>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</si>
  <si>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</si>
  <si>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</si>
  <si>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</si>
  <si>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</si>
  <si>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</si>
  <si>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</si>
  <si>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</si>
  <si>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</si>
  <si>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</si>
  <si>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</si>
  <si>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</si>
  <si>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</si>
  <si>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</si>
  <si>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</si>
  <si>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</si>
  <si>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</si>
  <si>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</si>
  <si>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</si>
  <si>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</si>
  <si>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</si>
  <si>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</si>
  <si>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</si>
  <si>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</si>
  <si>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</si>
  <si>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</si>
  <si>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</si>
  <si>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</si>
  <si>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</si>
  <si>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</si>
  <si>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</si>
  <si>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</si>
  <si>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</si>
  <si>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</si>
  <si>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</si>
  <si>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</si>
  <si>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</si>
  <si>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</si>
  <si>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</si>
  <si>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</si>
  <si>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</si>
  <si>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</si>
  <si>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</si>
  <si>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</si>
  <si>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</si>
  <si>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</si>
  <si>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</si>
  <si>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</si>
  <si>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</si>
  <si>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</si>
  <si>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</si>
  <si>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</si>
  <si>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</si>
  <si>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</si>
  <si>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</si>
  <si>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</si>
  <si>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</si>
  <si>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</si>
  <si>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</si>
  <si>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</si>
  <si>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</si>
  <si>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</si>
  <si>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</si>
  <si>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</si>
  <si>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</si>
  <si>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</si>
  <si>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</si>
  <si>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</si>
  <si>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</si>
  <si>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</si>
  <si>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</si>
  <si>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</si>
  <si>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</si>
  <si>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</si>
  <si>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</si>
  <si>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</si>
  <si>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</si>
  <si>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</si>
  <si>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</si>
  <si>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</si>
  <si>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</si>
  <si>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</si>
  <si>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</si>
  <si>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</si>
  <si>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</si>
  <si>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</si>
  <si>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</si>
  <si>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</si>
  <si>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</si>
  <si>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</si>
  <si>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</si>
  <si>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</si>
  <si>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</si>
  <si>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</si>
  <si>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</si>
  <si>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</si>
  <si>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</si>
  <si>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</si>
  <si>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</si>
  <si>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</si>
  <si>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</si>
  <si>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</si>
  <si>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</si>
  <si>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</si>
  <si>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</si>
  <si>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</si>
  <si>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</si>
  <si>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</si>
  <si>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</si>
  <si>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</si>
  <si>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</si>
  <si>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</si>
  <si>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</si>
  <si>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</si>
  <si>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</si>
  <si>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</si>
  <si>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</si>
  <si>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</si>
  <si>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</si>
  <si>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</si>
  <si>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</si>
  <si>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</si>
  <si>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</si>
  <si>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</si>
  <si>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</si>
  <si>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</si>
  <si>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</si>
  <si>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</si>
  <si>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</si>
  <si>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</si>
  <si>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</si>
  <si>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</si>
  <si>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</si>
  <si>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</si>
  <si>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</si>
  <si>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</si>
  <si>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</si>
  <si>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</si>
  <si>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</si>
  <si>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</si>
  <si>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</si>
  <si>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</si>
  <si>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</si>
  <si>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</si>
  <si>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</si>
  <si>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</si>
  <si>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</si>
  <si>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</si>
  <si>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</si>
  <si>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</si>
  <si>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</si>
  <si>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</si>
  <si>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</si>
  <si>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</si>
  <si>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</si>
  <si>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</si>
  <si>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</si>
  <si>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</si>
  <si>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</si>
  <si>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</si>
  <si>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</si>
  <si>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</si>
  <si>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</si>
  <si>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</si>
  <si>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</si>
  <si>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</si>
  <si>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</si>
  <si>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</si>
  <si>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</si>
  <si>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</si>
  <si>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</si>
  <si>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</si>
  <si>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</si>
  <si>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</si>
  <si>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</si>
  <si>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</si>
  <si>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</si>
  <si>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</si>
  <si>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</si>
  <si>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</si>
  <si>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</si>
  <si>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</si>
  <si>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</si>
  <si>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</si>
  <si>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</si>
  <si>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</si>
  <si>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</si>
  <si>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</si>
  <si>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</si>
  <si>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</si>
  <si>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</si>
  <si>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</si>
  <si>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</si>
  <si>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</si>
  <si>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</si>
  <si>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</si>
  <si>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</si>
  <si>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</si>
  <si>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</si>
  <si>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</si>
  <si>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</si>
  <si>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</si>
  <si>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</si>
  <si>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</si>
  <si>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</si>
  <si>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</si>
  <si>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</si>
  <si>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</si>
  <si>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</si>
  <si>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</si>
  <si>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</si>
  <si>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</si>
  <si>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</si>
  <si>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</si>
  <si>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</si>
  <si>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</si>
  <si>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</si>
  <si>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</si>
  <si>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</si>
  <si>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</si>
  <si>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</si>
  <si>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</si>
  <si>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</si>
  <si>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</si>
  <si>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</si>
  <si>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</si>
  <si>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</si>
  <si>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</si>
  <si>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</si>
  <si>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</si>
  <si>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</si>
  <si>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</si>
  <si>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</si>
  <si>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</si>
  <si>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</si>
  <si>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</si>
  <si>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</si>
  <si>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</si>
  <si>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</si>
  <si>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</si>
  <si>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</si>
  <si>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</si>
  <si>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</si>
  <si>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</si>
  <si>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</si>
  <si>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</si>
  <si>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</si>
  <si>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</si>
  <si>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</si>
  <si>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</si>
  <si>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</si>
  <si>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</si>
  <si>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</si>
  <si>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</si>
  <si>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</si>
  <si>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</si>
  <si>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</si>
  <si>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</si>
  <si>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</si>
  <si>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</si>
  <si>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</si>
  <si>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</si>
  <si>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</si>
  <si>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</si>
  <si>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</si>
  <si>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</si>
  <si>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</si>
  <si>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</si>
  <si>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</si>
  <si>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</si>
  <si>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</si>
  <si>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</si>
  <si>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</si>
  <si>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</si>
  <si>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</si>
  <si>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</si>
  <si>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</si>
  <si>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</si>
  <si>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</si>
  <si>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</si>
  <si>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</si>
  <si>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</si>
  <si>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</si>
  <si>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</si>
  <si>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</si>
  <si>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</si>
  <si>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</si>
  <si>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</si>
  <si>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</si>
  <si>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</si>
  <si>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</si>
  <si>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</si>
  <si>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</si>
  <si>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</si>
  <si>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</si>
  <si>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</si>
  <si>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</si>
  <si>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</si>
  <si>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</si>
  <si>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</si>
  <si>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</si>
  <si>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</si>
  <si>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</si>
  <si>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</si>
  <si>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</si>
  <si>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</si>
  <si>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</si>
  <si>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</si>
  <si>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</si>
  <si>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</si>
  <si>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</si>
  <si>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</si>
  <si>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</si>
  <si>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</si>
  <si>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</si>
  <si>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</si>
  <si>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</si>
  <si>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</si>
  <si>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</si>
  <si>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</si>
  <si>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</si>
  <si>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</si>
  <si>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</si>
  <si>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</si>
  <si>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</si>
  <si>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</si>
  <si>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</si>
  <si>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</si>
  <si>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</si>
  <si>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</si>
  <si>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</si>
  <si>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</si>
  <si>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</si>
  <si>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</si>
  <si>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</si>
  <si>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</si>
  <si>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</si>
  <si>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</si>
  <si>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</si>
  <si>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</si>
  <si>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</si>
  <si>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</si>
  <si>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</si>
  <si>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</si>
  <si>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</si>
  <si>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</si>
  <si>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</si>
  <si>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</si>
  <si>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</si>
  <si>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</si>
  <si>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</si>
  <si>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</si>
  <si>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</si>
  <si>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</si>
  <si>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</si>
  <si>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</si>
  <si>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</si>
  <si>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</si>
  <si>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</si>
  <si>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</si>
  <si>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</si>
  <si>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</si>
  <si>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</si>
  <si>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</si>
  <si>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</si>
  <si>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</si>
  <si>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</si>
  <si>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</si>
  <si>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</si>
  <si>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</si>
  <si>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</si>
  <si>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</si>
  <si>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</si>
  <si>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</si>
  <si>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</si>
  <si>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</si>
  <si>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</si>
  <si>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</si>
  <si>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</si>
  <si>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</si>
  <si>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</si>
  <si>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</si>
  <si>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</si>
  <si>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</si>
  <si>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</si>
  <si>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</si>
  <si>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</si>
  <si>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</si>
  <si>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</si>
  <si>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</si>
  <si>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</si>
  <si>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</si>
  <si>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</si>
  <si>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</si>
  <si>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</si>
  <si>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</si>
  <si>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</si>
  <si>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</si>
  <si>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</si>
  <si>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</si>
  <si>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</si>
  <si>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</si>
  <si>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</si>
  <si>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</si>
  <si>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</si>
  <si>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</si>
  <si>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</si>
  <si>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</si>
  <si>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</si>
  <si>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</si>
  <si>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</si>
  <si>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</si>
  <si>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</si>
  <si>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</si>
  <si>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</si>
  <si>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</si>
  <si>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</si>
  <si>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</si>
  <si>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</si>
  <si>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</si>
  <si>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</si>
  <si>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</si>
  <si>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</si>
  <si>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</si>
  <si>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</si>
  <si>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</si>
  <si>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</si>
  <si>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</si>
  <si>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</si>
  <si>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</si>
  <si>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</si>
  <si>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</si>
  <si>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</si>
  <si>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</si>
  <si>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</si>
  <si>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</si>
  <si>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</si>
  <si>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</si>
  <si>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</si>
  <si>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</si>
  <si>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</si>
  <si>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</si>
  <si>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</si>
  <si>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</si>
  <si>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</si>
  <si>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</si>
  <si>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</si>
  <si>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</si>
  <si>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</si>
  <si>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</si>
  <si>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</si>
  <si>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</si>
  <si>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</si>
  <si>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</si>
  <si>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</si>
  <si>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</si>
  <si>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</si>
  <si>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</si>
  <si>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</si>
  <si>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</si>
  <si>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</si>
  <si>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</si>
  <si>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</si>
  <si>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</si>
  <si>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</si>
  <si>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</si>
  <si>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</si>
  <si>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</si>
  <si>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</si>
  <si>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</si>
  <si>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</si>
  <si>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</si>
  <si>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</si>
  <si>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</si>
  <si>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</si>
  <si>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</si>
  <si>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</si>
  <si>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</si>
  <si>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</si>
  <si>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</si>
  <si>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</si>
  <si>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</si>
  <si>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</si>
  <si>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</si>
  <si>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</si>
  <si>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</si>
  <si>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</si>
  <si>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</si>
  <si>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</si>
  <si>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</si>
  <si>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</si>
  <si>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</si>
  <si>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</si>
  <si>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</si>
  <si>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</si>
  <si>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</si>
  <si>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</si>
  <si>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</si>
  <si>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</si>
  <si>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</si>
  <si>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</si>
  <si>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</si>
  <si>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</si>
  <si>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</si>
  <si>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</si>
  <si>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</si>
  <si>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</si>
  <si>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</si>
  <si>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</si>
  <si>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</si>
  <si>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</si>
  <si>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</si>
  <si>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</si>
  <si>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</si>
  <si>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</si>
  <si>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</si>
  <si>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</si>
  <si>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</si>
  <si>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</si>
  <si>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</si>
  <si>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</si>
  <si>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</si>
  <si>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</si>
  <si>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</si>
  <si>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</si>
  <si>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</si>
  <si>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</si>
  <si>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</si>
  <si>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</si>
  <si>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</si>
  <si>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</si>
  <si>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</si>
  <si>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</si>
  <si>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</si>
  <si>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</si>
  <si>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</si>
  <si>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</si>
  <si>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</si>
  <si>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</si>
  <si>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</si>
  <si>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</si>
  <si>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</si>
  <si>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</si>
  <si>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</si>
  <si>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</si>
  <si>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</si>
  <si>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</si>
  <si>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</si>
  <si>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</si>
  <si>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</si>
  <si>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</si>
  <si>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</si>
  <si>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</si>
  <si>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</si>
  <si>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</si>
  <si>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</si>
  <si>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</si>
  <si>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</si>
  <si>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</si>
  <si>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</si>
  <si>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</si>
  <si>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</si>
  <si>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</si>
  <si>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</si>
  <si>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</si>
  <si>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</si>
  <si>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</si>
  <si>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</si>
  <si>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</si>
  <si>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</si>
  <si>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</si>
  <si>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</si>
  <si>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</si>
  <si>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</si>
  <si>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</si>
  <si>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</si>
  <si>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</si>
  <si>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</si>
  <si>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</si>
  <si>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</si>
  <si>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</si>
  <si>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</si>
  <si>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</si>
  <si>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</si>
  <si>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</si>
  <si>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</si>
  <si>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</si>
  <si>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</si>
  <si>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</si>
  <si>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</si>
  <si>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</si>
  <si>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</si>
  <si>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</si>
  <si>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</si>
  <si>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</si>
  <si>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</si>
  <si>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</si>
  <si>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</si>
  <si>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</si>
  <si>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</si>
  <si>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</si>
  <si>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</si>
  <si>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</si>
  <si>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</si>
  <si>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</si>
  <si>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</si>
  <si>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</si>
  <si>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</si>
  <si>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</si>
  <si>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</si>
  <si>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</si>
  <si>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</si>
  <si>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</si>
  <si>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</si>
  <si>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</si>
  <si>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</si>
  <si>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</si>
  <si>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</si>
  <si>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</si>
  <si>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</si>
  <si>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</si>
  <si>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</si>
  <si>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</si>
  <si>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</si>
  <si>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</si>
  <si>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</si>
  <si>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</si>
  <si>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</si>
  <si>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</si>
  <si>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</si>
  <si>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</si>
  <si>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</si>
  <si>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</si>
  <si>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</si>
  <si>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</si>
  <si>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</si>
  <si>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</si>
  <si>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</si>
  <si>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</si>
  <si>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</si>
  <si>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</si>
  <si>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</si>
  <si>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</si>
  <si>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</si>
  <si>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</si>
  <si>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</si>
  <si>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</si>
  <si>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</si>
  <si>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</si>
  <si>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</si>
  <si>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</si>
  <si>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</si>
  <si>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</si>
  <si>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</si>
  <si>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</si>
  <si>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</si>
  <si>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</si>
  <si>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</si>
  <si>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</si>
  <si>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</si>
  <si>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</si>
  <si>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</si>
  <si>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</si>
  <si>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</si>
  <si>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</si>
  <si>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</si>
  <si>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</si>
  <si>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</si>
  <si>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</si>
  <si>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</si>
  <si>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</si>
  <si>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</si>
  <si>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</si>
  <si>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</si>
  <si>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</si>
  <si>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</si>
  <si>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</si>
  <si>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</si>
  <si>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</si>
  <si>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</si>
  <si>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</si>
  <si>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</si>
  <si>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</si>
  <si>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</si>
  <si>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</si>
  <si>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</si>
  <si>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</si>
  <si>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</si>
  <si>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</si>
  <si>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</si>
  <si>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</si>
  <si>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</si>
  <si>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</si>
  <si>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</si>
  <si>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</si>
  <si>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</si>
  <si>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</si>
  <si>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</si>
  <si>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</si>
  <si>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</si>
  <si>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</si>
  <si>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</si>
  <si>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</si>
  <si>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</si>
  <si>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</si>
  <si>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</si>
  <si>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</si>
  <si>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</si>
  <si>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</si>
  <si>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</si>
  <si>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</si>
  <si>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</si>
  <si>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</si>
  <si>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</si>
  <si>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</si>
  <si>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</si>
  <si>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</si>
  <si>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</si>
  <si>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</si>
  <si>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</si>
  <si>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</si>
  <si>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</si>
  <si>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</si>
  <si>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</si>
  <si>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</si>
  <si>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</si>
  <si>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</si>
  <si>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</si>
  <si>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</si>
  <si>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</si>
  <si>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</si>
  <si>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</si>
  <si>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</si>
  <si>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</si>
  <si>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</si>
  <si>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</si>
  <si>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</si>
  <si>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</si>
  <si>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</si>
  <si>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</si>
  <si>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</si>
  <si>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</si>
  <si>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</si>
  <si>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</si>
  <si>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</si>
  <si>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</si>
  <si>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</si>
  <si>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</si>
  <si>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</si>
  <si>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</si>
  <si>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</si>
  <si>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</si>
  <si>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</si>
  <si>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</si>
  <si>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</si>
  <si>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</si>
  <si>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</si>
  <si>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</si>
  <si>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</si>
  <si>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</si>
  <si>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</si>
  <si>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</si>
  <si>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</si>
  <si>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</si>
  <si>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</si>
  <si>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</si>
  <si>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</si>
  <si>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</si>
  <si>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</si>
  <si>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</si>
  <si>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</si>
  <si>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</si>
  <si>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</si>
  <si>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</si>
  <si>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</si>
  <si>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</si>
  <si>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</si>
  <si>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</si>
  <si>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</si>
  <si>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</si>
  <si>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</si>
  <si>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</si>
  <si>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</si>
  <si>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</si>
  <si>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</si>
  <si>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</si>
  <si>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</si>
  <si>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</si>
  <si>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</si>
  <si>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</si>
  <si>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</si>
  <si>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</si>
  <si>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</si>
  <si>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</si>
  <si>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</si>
  <si>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</si>
  <si>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</si>
  <si>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</si>
  <si>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</si>
  <si>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</si>
  <si>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</si>
  <si>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</si>
  <si>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</si>
  <si>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</si>
  <si>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</si>
  <si>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</si>
  <si>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</si>
  <si>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</si>
  <si>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</si>
  <si>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</si>
  <si>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</si>
  <si>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</si>
  <si>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</si>
  <si>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</si>
  <si>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</si>
  <si>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</si>
  <si>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</si>
  <si>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</si>
  <si>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</si>
  <si>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</si>
  <si>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</si>
  <si>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</si>
  <si>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</si>
  <si>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</si>
  <si>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</si>
  <si>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</si>
  <si>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</si>
  <si>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</si>
  <si>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</si>
  <si>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</si>
  <si>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</si>
  <si>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</si>
  <si>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</si>
  <si>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</si>
  <si>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</si>
  <si>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</si>
  <si>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</si>
  <si>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</si>
  <si>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</si>
  <si>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</si>
  <si>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</si>
  <si>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</si>
  <si>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</si>
  <si>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</si>
  <si>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</si>
  <si>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</si>
  <si>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</si>
  <si>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</si>
  <si>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</si>
  <si>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</si>
  <si>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</si>
  <si>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</si>
  <si>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</si>
  <si>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</si>
  <si>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</si>
  <si>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</si>
  <si>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</si>
  <si>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</si>
  <si>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</si>
  <si>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</si>
  <si>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</si>
  <si>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</si>
  <si>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</si>
  <si>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</si>
  <si>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</si>
  <si>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</si>
  <si>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</si>
  <si>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</si>
  <si>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</si>
  <si>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</si>
  <si>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</si>
  <si>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</si>
  <si>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</si>
  <si>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</si>
  <si>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</si>
  <si>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</si>
  <si>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</si>
  <si>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</si>
  <si>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</si>
  <si>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</si>
  <si>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</si>
  <si>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</si>
  <si>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</si>
  <si>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</si>
  <si>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</si>
  <si>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</si>
  <si>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</si>
  <si>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</si>
  <si>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</si>
  <si>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</si>
  <si>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</si>
  <si>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</si>
  <si>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</si>
  <si>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</si>
  <si>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</si>
  <si>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</si>
  <si>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</si>
  <si>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</si>
  <si>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</si>
  <si>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</si>
  <si>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</si>
  <si>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</si>
  <si>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</si>
  <si>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</si>
  <si>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</si>
  <si>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</si>
  <si>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</si>
  <si>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</si>
  <si>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</si>
  <si>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</si>
  <si>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</si>
  <si>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</si>
  <si>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</si>
  <si>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</si>
  <si>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</si>
  <si>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</si>
  <si>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</si>
  <si>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</si>
  <si>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</si>
  <si>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</si>
  <si>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</si>
  <si>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</si>
  <si>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</si>
  <si>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</si>
  <si>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</si>
  <si>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</si>
  <si>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</si>
  <si>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</si>
  <si>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</si>
  <si>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</si>
  <si>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</si>
  <si>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</si>
  <si>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</si>
  <si>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</si>
  <si>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</si>
  <si>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</si>
  <si>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</si>
  <si>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</si>
  <si>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</si>
  <si>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</si>
  <si>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</si>
  <si>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</si>
  <si>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</si>
  <si>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</si>
  <si>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</si>
  <si>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</si>
  <si>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</si>
  <si>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</si>
  <si>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</si>
  <si>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</si>
  <si>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</si>
  <si>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</si>
  <si>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</si>
  <si>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</si>
  <si>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</si>
  <si>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</si>
  <si>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</si>
  <si>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</si>
  <si>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</si>
  <si>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</si>
  <si>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</si>
  <si>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</si>
  <si>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</si>
  <si>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</si>
  <si>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</si>
  <si>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</si>
  <si>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</si>
  <si>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</si>
  <si>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</si>
  <si>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</si>
  <si>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</si>
  <si>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</si>
  <si>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</si>
  <si>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</si>
  <si>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</si>
  <si>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</si>
  <si>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</si>
  <si>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</si>
  <si>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</si>
  <si>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</si>
  <si>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</si>
  <si>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</si>
  <si>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</si>
  <si>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</si>
  <si>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</si>
  <si>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</si>
  <si>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</si>
  <si>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</si>
  <si>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</si>
  <si>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</si>
  <si>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</si>
  <si>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</si>
  <si>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</si>
  <si>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</si>
  <si>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</si>
  <si>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</si>
  <si>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</si>
  <si>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</si>
  <si>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</si>
  <si>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</si>
  <si>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</si>
  <si>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</si>
  <si>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</si>
  <si>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</si>
  <si>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</si>
  <si>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</si>
  <si>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</si>
  <si>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</si>
  <si>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</si>
  <si>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</si>
  <si>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</si>
  <si>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</si>
  <si>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</si>
  <si>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</si>
  <si>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</si>
  <si>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</si>
  <si>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</si>
  <si>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</si>
  <si>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</si>
  <si>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</si>
  <si>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</si>
  <si>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</si>
  <si>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</si>
  <si>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</si>
  <si>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</si>
  <si>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</si>
  <si>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</si>
  <si>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</si>
  <si>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</si>
  <si>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</si>
  <si>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</si>
  <si>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</si>
  <si>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</si>
  <si>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</si>
  <si>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</si>
  <si>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</si>
  <si>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</si>
  <si>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</si>
  <si>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</si>
  <si>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</si>
  <si>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</si>
  <si>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</si>
  <si>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</si>
  <si>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</si>
  <si>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</si>
  <si>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</si>
  <si>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</si>
  <si>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</si>
  <si>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</si>
  <si>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</si>
  <si>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</si>
  <si>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</si>
  <si>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</si>
  <si>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</si>
  <si>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</si>
  <si>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</si>
  <si>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</si>
  <si>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</si>
  <si>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</si>
  <si>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</si>
  <si>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</si>
  <si>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</si>
  <si>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</si>
  <si>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</si>
  <si>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</si>
  <si>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</si>
  <si>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</si>
  <si>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</si>
  <si>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</si>
  <si>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</si>
  <si>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</si>
  <si>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</si>
  <si>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</si>
  <si>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</si>
  <si>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</si>
  <si>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</si>
  <si>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</si>
  <si>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</si>
  <si>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</si>
  <si>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</si>
  <si>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</si>
  <si>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</si>
  <si>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</si>
  <si>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</si>
  <si>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</si>
  <si>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</si>
  <si>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</si>
  <si>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</si>
  <si>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</si>
  <si>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</si>
  <si>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</si>
  <si>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</si>
  <si>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</si>
  <si>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</si>
  <si>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</si>
  <si>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</si>
  <si>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</si>
  <si>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</si>
  <si>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</si>
  <si>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</si>
  <si>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</si>
  <si>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</si>
  <si>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</si>
  <si>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</si>
  <si>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</si>
  <si>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</si>
  <si>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</si>
  <si>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</si>
  <si>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</si>
  <si>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</si>
  <si>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</si>
  <si>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</si>
  <si>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</si>
  <si>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</si>
  <si>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</si>
  <si>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</si>
  <si>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</si>
  <si>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</si>
  <si>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</si>
  <si>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</si>
  <si>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</si>
  <si>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</si>
  <si>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</si>
  <si>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</si>
  <si>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</si>
  <si>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</si>
  <si>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</si>
  <si>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</si>
  <si>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</si>
  <si>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</si>
  <si>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</si>
  <si>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</si>
  <si>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</si>
  <si>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</si>
  <si>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</si>
  <si>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</si>
  <si>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</si>
  <si>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</si>
  <si>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</si>
  <si>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</si>
  <si>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</si>
  <si>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</si>
  <si>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</si>
  <si>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</si>
  <si>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</si>
  <si>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</si>
  <si>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</si>
  <si>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</si>
  <si>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</si>
  <si>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</si>
  <si>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</si>
  <si>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</si>
  <si>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</si>
  <si>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</si>
  <si>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</si>
  <si>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</si>
  <si>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</si>
  <si>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</si>
  <si>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</si>
  <si>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</si>
  <si>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</si>
  <si>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</si>
  <si>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</si>
  <si>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</si>
  <si>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</si>
  <si>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</si>
  <si>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</si>
  <si>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</si>
  <si>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</si>
  <si>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</si>
  <si>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</si>
  <si>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</si>
  <si>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</si>
  <si>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</si>
  <si>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</si>
  <si>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</si>
  <si>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</si>
  <si>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</si>
  <si>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</si>
  <si>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</si>
  <si>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</si>
  <si>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</si>
  <si>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</si>
  <si>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</si>
  <si>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</si>
  <si>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</si>
  <si>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</si>
  <si>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</si>
  <si>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</si>
  <si>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</si>
  <si>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</si>
  <si>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</si>
  <si>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</si>
  <si>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</si>
  <si>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</si>
  <si>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</si>
  <si>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</si>
  <si>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</si>
  <si>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</si>
  <si>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</si>
  <si>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</si>
  <si>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</si>
  <si>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</si>
  <si>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</si>
  <si>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</si>
  <si>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</si>
  <si>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</si>
  <si>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</si>
  <si>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</si>
  <si>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</si>
  <si>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</si>
  <si>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</si>
  <si>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</si>
  <si>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</si>
  <si>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</si>
  <si>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</si>
  <si>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</si>
  <si>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</si>
  <si>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</si>
  <si>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</si>
  <si>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</si>
  <si>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</si>
  <si>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</si>
  <si>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</si>
  <si>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</si>
  <si>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</si>
  <si>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</si>
  <si>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</si>
  <si>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</si>
  <si>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</si>
  <si>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</si>
  <si>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</si>
  <si>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</si>
  <si>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</si>
  <si>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</si>
  <si>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</si>
  <si>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</si>
  <si>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</si>
  <si>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</si>
  <si>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</si>
  <si>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</si>
  <si>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</si>
  <si>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</si>
  <si>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</si>
  <si>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</si>
  <si>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</si>
  <si>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</si>
  <si>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</si>
  <si>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</si>
  <si>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</si>
  <si>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</si>
  <si>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</si>
  <si>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</si>
  <si>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</si>
  <si>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</si>
  <si>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</si>
  <si>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</si>
  <si>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</si>
  <si>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</si>
  <si>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</si>
  <si>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</si>
  <si>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</si>
  <si>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</si>
  <si>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</si>
  <si>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</si>
  <si>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</si>
  <si>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</si>
  <si>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</si>
  <si>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</si>
  <si>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</si>
  <si>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</si>
  <si>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</si>
  <si>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</si>
  <si>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</si>
  <si>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</si>
  <si>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</si>
  <si>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</si>
  <si>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</si>
  <si>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</si>
  <si>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</si>
  <si>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</si>
  <si>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</si>
  <si>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</si>
  <si>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</si>
  <si>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</si>
  <si>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</si>
  <si>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</si>
  <si>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</si>
  <si>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</si>
  <si>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</si>
  <si>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</si>
  <si>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</si>
  <si>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</si>
  <si>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</si>
  <si>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</si>
  <si>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</si>
  <si>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</si>
  <si>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</si>
  <si>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</si>
  <si>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</si>
  <si>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</si>
  <si>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</si>
  <si>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</si>
  <si>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</si>
  <si>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</si>
  <si>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</si>
  <si>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</si>
  <si>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</si>
  <si>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</si>
  <si>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</si>
  <si>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</si>
  <si>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</si>
  <si>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</si>
  <si>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</si>
  <si>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</si>
  <si>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</si>
  <si>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</si>
  <si>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</si>
  <si>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</si>
  <si>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</si>
  <si>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</si>
  <si>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</si>
  <si>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</si>
  <si>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</si>
  <si>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</si>
  <si>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</si>
  <si>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</si>
  <si>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</si>
  <si>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</si>
  <si>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</si>
  <si>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</si>
  <si>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</si>
  <si>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</si>
  <si>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</si>
  <si>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</si>
  <si>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</si>
  <si>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</si>
  <si>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</si>
  <si>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</si>
  <si>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</si>
  <si>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</si>
  <si>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</si>
  <si>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</si>
  <si>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</si>
  <si>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</si>
  <si>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</si>
  <si>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</si>
  <si>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</si>
  <si>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</si>
  <si>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</si>
  <si>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</si>
  <si>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</si>
  <si>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</si>
  <si>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</si>
  <si>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</si>
  <si>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</si>
  <si>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</si>
  <si>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</si>
  <si>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</si>
  <si>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</si>
  <si>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</si>
  <si>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</si>
  <si>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</si>
  <si>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</si>
  <si>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</si>
  <si>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</si>
  <si>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</si>
  <si>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</si>
  <si>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</si>
  <si>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</si>
  <si>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</si>
  <si>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</si>
  <si>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</si>
  <si>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</si>
  <si>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</si>
  <si>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</si>
  <si>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</si>
  <si>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</si>
  <si>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</si>
  <si>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</si>
  <si>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</si>
  <si>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</si>
  <si>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</si>
  <si>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</si>
  <si>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</si>
  <si>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</si>
  <si>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</si>
  <si>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</si>
  <si>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</si>
  <si>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</si>
  <si>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</si>
  <si>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</si>
  <si>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</si>
  <si>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</si>
  <si>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</si>
  <si>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</si>
  <si>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</si>
  <si>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</si>
  <si>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</si>
  <si>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</si>
  <si>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</si>
  <si>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</si>
  <si>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</si>
  <si>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</si>
  <si>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</si>
  <si>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</si>
  <si>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</si>
  <si>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</si>
  <si>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</si>
  <si>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</si>
  <si>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</si>
  <si>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</si>
  <si>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</si>
  <si>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</si>
  <si>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</si>
  <si>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</si>
  <si>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</si>
  <si>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</si>
  <si>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</si>
  <si>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</si>
  <si>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</si>
  <si>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</si>
  <si>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</si>
  <si>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</si>
  <si>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</si>
  <si>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</si>
  <si>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</si>
  <si>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</si>
  <si>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</si>
  <si>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</si>
  <si>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</si>
  <si>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</si>
  <si>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</si>
  <si>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</si>
  <si>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</si>
  <si>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</si>
  <si>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</si>
  <si>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</si>
  <si>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</si>
  <si>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</si>
  <si>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</si>
  <si>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</si>
  <si>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</si>
  <si>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</si>
  <si>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</si>
  <si>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</si>
  <si>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</si>
  <si>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</si>
  <si>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</si>
  <si>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</si>
  <si>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</si>
  <si>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</si>
  <si>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</si>
  <si>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</si>
  <si>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</si>
  <si>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</si>
  <si>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</si>
  <si>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</si>
  <si>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</si>
  <si>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</si>
  <si>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</si>
  <si>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</si>
  <si>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</si>
  <si>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</si>
  <si>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</si>
  <si>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</si>
  <si>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</si>
  <si>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</si>
  <si>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</si>
  <si>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</si>
  <si>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</si>
  <si>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</si>
  <si>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</si>
  <si>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</si>
  <si>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</si>
  <si>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</si>
  <si>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</si>
  <si>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</si>
  <si>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</si>
  <si>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</si>
  <si>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</si>
  <si>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</si>
  <si>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</si>
  <si>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</si>
  <si>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</si>
  <si>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</si>
  <si>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</si>
  <si>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</si>
  <si>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</si>
  <si>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</si>
  <si>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</si>
  <si>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</si>
  <si>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</si>
  <si>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</si>
  <si>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</si>
  <si>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</si>
  <si>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</si>
  <si>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</si>
  <si>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</si>
  <si>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</si>
  <si>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</si>
  <si>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</si>
  <si>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</si>
  <si>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</si>
  <si>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</si>
  <si>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</si>
  <si>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</si>
  <si>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</si>
  <si>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</si>
  <si>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</si>
  <si>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</si>
  <si>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</si>
  <si>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</si>
  <si>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</si>
  <si>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</si>
  <si>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</si>
  <si>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</si>
  <si>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</si>
  <si>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</si>
  <si>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</si>
  <si>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</si>
  <si>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</si>
  <si>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</si>
  <si>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</si>
  <si>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</si>
  <si>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</si>
  <si>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</si>
  <si>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</si>
  <si>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</si>
  <si>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</si>
  <si>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</si>
  <si>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</si>
  <si>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</si>
  <si>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</si>
  <si>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</si>
  <si>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</si>
  <si>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</si>
  <si>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</si>
  <si>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</si>
  <si>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</si>
  <si>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</si>
  <si>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</si>
  <si>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</si>
  <si>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</si>
  <si>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</si>
  <si>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</si>
  <si>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</si>
  <si>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</si>
  <si>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</si>
  <si>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</si>
  <si>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</si>
  <si>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</si>
  <si>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</si>
  <si>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</si>
  <si>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</si>
  <si>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</si>
  <si>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</si>
  <si>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</si>
  <si>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</si>
  <si>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</si>
  <si>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</si>
  <si>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</si>
  <si>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</si>
  <si>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</si>
  <si>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</si>
  <si>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</si>
  <si>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</si>
  <si>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</si>
  <si>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</si>
  <si>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</si>
  <si>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</si>
  <si>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</si>
  <si>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</si>
  <si>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</si>
  <si>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</si>
  <si>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</si>
  <si>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</si>
  <si>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</si>
  <si>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</si>
  <si>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</si>
  <si>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</si>
  <si>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</si>
  <si>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</si>
  <si>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</si>
  <si>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</si>
  <si>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</si>
  <si>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</si>
  <si>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</si>
  <si>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</si>
  <si>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</si>
  <si>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</si>
  <si>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</si>
  <si>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</si>
  <si>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</si>
  <si>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</si>
  <si>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</si>
  <si>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</si>
  <si>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</si>
  <si>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</si>
  <si>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</si>
  <si>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</si>
  <si>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</si>
  <si>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</si>
  <si>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</si>
  <si>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</si>
  <si>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</si>
  <si>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</si>
  <si>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</si>
  <si>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</si>
  <si>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</si>
  <si>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</si>
  <si>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</si>
  <si>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</si>
  <si>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</si>
  <si>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</si>
  <si>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</si>
  <si>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</si>
  <si>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</si>
  <si>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</si>
  <si>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</si>
  <si>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</si>
  <si>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</si>
  <si>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</si>
  <si>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</si>
  <si>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</si>
  <si>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</si>
  <si>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</si>
  <si>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</si>
  <si>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</si>
  <si>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</si>
  <si>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</si>
  <si>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</si>
  <si>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</si>
  <si>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</si>
  <si>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</si>
  <si>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</si>
  <si>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</si>
  <si>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</si>
  <si>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</si>
  <si>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</si>
  <si>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</si>
  <si>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</si>
  <si>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</si>
  <si>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</si>
  <si>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</si>
  <si>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</si>
  <si>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</si>
  <si>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</si>
  <si>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</si>
  <si>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</si>
  <si>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</si>
  <si>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</si>
  <si>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</si>
  <si>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</si>
  <si>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</si>
  <si>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</si>
  <si>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</si>
  <si>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</si>
  <si>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</si>
  <si>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</si>
  <si>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</si>
  <si>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</si>
  <si>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</si>
  <si>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</si>
  <si>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</si>
  <si>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</si>
  <si>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</si>
  <si>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</si>
  <si>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</si>
  <si>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</si>
  <si>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</si>
  <si>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</si>
  <si>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</si>
  <si>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</si>
  <si>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</si>
  <si>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</si>
  <si>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</si>
  <si>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</si>
  <si>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</si>
  <si>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</si>
  <si>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</si>
  <si>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</si>
  <si>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</si>
  <si>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</si>
  <si>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</si>
  <si>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</si>
  <si>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</si>
  <si>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</si>
  <si>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</si>
  <si>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</si>
  <si>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</si>
  <si>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</si>
  <si>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</si>
  <si>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</si>
  <si>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</si>
  <si>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</si>
  <si>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</si>
  <si>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</si>
  <si>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</si>
  <si>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</si>
  <si>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</si>
  <si>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</si>
  <si>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</si>
  <si>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</si>
  <si>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</si>
  <si>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</si>
  <si>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</si>
  <si>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</si>
  <si>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</si>
  <si>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</si>
  <si>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</si>
  <si>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</si>
  <si>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</si>
  <si>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</si>
  <si>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</si>
  <si>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</si>
  <si>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</si>
  <si>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</si>
  <si>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</si>
  <si>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</si>
  <si>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</si>
  <si>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</si>
  <si>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</si>
  <si>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</si>
  <si>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</si>
  <si>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</si>
  <si>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</si>
  <si>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</si>
  <si>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</si>
  <si>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</si>
  <si>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</si>
  <si>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</si>
  <si>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</si>
  <si>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</si>
  <si>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</si>
  <si>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</si>
  <si>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</si>
  <si>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</si>
  <si>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</si>
  <si>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</si>
  <si>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</si>
  <si>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</si>
  <si>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</si>
  <si>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</si>
  <si>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</si>
  <si>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</si>
  <si>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</si>
  <si>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</si>
  <si>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</si>
  <si>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</si>
  <si>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</si>
  <si>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</si>
  <si>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</si>
  <si>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</si>
  <si>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</si>
  <si>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</si>
  <si>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</si>
  <si>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</si>
  <si>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</si>
  <si>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</si>
  <si>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</si>
  <si>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</si>
  <si>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</si>
  <si>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</si>
  <si>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</si>
  <si>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</si>
  <si>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</si>
  <si>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</si>
  <si>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</si>
  <si>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</si>
  <si>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</si>
  <si>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</si>
  <si>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</si>
  <si>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</si>
  <si>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</si>
  <si>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</si>
  <si>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</si>
  <si>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</si>
  <si>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</si>
  <si>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</si>
  <si>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</si>
  <si>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</si>
  <si>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</si>
  <si>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</si>
  <si>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</si>
  <si>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</si>
  <si>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</si>
  <si>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</si>
  <si>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</si>
  <si>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</si>
  <si>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</si>
  <si>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</si>
  <si>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</si>
  <si>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</si>
  <si>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</si>
  <si>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</si>
  <si>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</si>
  <si>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</si>
  <si>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</si>
  <si>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</si>
  <si>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</si>
  <si>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</si>
  <si>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</si>
  <si>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</si>
  <si>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</si>
  <si>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</si>
  <si>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</si>
  <si>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</si>
  <si>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</si>
  <si>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</si>
  <si>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</si>
  <si>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</si>
  <si>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</si>
  <si>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</si>
  <si>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</si>
  <si>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</si>
  <si>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</si>
  <si>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</si>
  <si>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</si>
  <si>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</si>
  <si>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</si>
  <si>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</si>
  <si>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</si>
  <si>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</si>
  <si>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</si>
  <si>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</si>
  <si>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</si>
  <si>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</si>
  <si>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</si>
  <si>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</si>
  <si>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</si>
  <si>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</si>
  <si>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</si>
  <si>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</si>
  <si>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</si>
  <si>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</si>
  <si>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</si>
  <si>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</si>
  <si>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</si>
  <si>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</si>
  <si>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</si>
  <si>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</si>
  <si>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</si>
  <si>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</si>
  <si>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</si>
  <si>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</si>
  <si>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</si>
  <si>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</si>
  <si>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</si>
  <si>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</si>
  <si>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</si>
  <si>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</si>
  <si>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</si>
  <si>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</si>
  <si>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</si>
  <si>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</si>
  <si>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</si>
  <si>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</si>
  <si>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</si>
  <si>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</si>
  <si>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</si>
  <si>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</si>
  <si>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</si>
  <si>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</si>
  <si>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</si>
  <si>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</si>
  <si>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</si>
  <si>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</si>
  <si>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</si>
  <si>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</si>
  <si>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</si>
  <si>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</si>
  <si>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</si>
  <si>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</si>
  <si>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</si>
  <si>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</si>
  <si>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</si>
  <si>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</si>
  <si>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</si>
  <si>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</si>
  <si>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</si>
  <si>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</si>
  <si>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</si>
  <si>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</si>
  <si>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</si>
  <si>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</si>
  <si>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</si>
  <si>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</si>
  <si>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</si>
  <si>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</si>
  <si>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</si>
  <si>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</si>
  <si>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</si>
  <si>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</si>
  <si>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</si>
  <si>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</si>
  <si>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</si>
  <si>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</si>
  <si>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</si>
  <si>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</si>
  <si>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</si>
  <si>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</si>
  <si>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</si>
  <si>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</si>
  <si>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</si>
  <si>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</si>
  <si>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</si>
  <si>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</si>
  <si>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</si>
  <si>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</si>
  <si>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</si>
  <si>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</si>
  <si>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</si>
  <si>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</si>
  <si>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</si>
  <si>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</si>
  <si>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</si>
  <si>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</si>
  <si>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</si>
  <si>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</si>
  <si>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</si>
  <si>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</si>
  <si>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</si>
  <si>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</si>
  <si>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</si>
  <si>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</si>
  <si>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</si>
  <si>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</si>
  <si>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</si>
  <si>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</si>
  <si>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</si>
  <si>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</si>
  <si>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</si>
  <si>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</si>
  <si>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</si>
  <si>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</si>
  <si>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</si>
  <si>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</si>
  <si>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</si>
  <si>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</si>
  <si>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</si>
  <si>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</si>
  <si>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</si>
  <si>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</si>
  <si>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</si>
  <si>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</si>
  <si>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</si>
  <si>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</si>
  <si>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</si>
  <si>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</si>
  <si>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</si>
  <si>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</si>
  <si>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</si>
  <si>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</si>
  <si>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</si>
  <si>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</si>
  <si>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</si>
  <si>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</si>
  <si>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</si>
  <si>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</si>
  <si>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</si>
  <si>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</si>
  <si>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</si>
  <si>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</si>
  <si>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</si>
  <si>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</si>
  <si>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</si>
  <si>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</si>
  <si>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</si>
  <si>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</si>
  <si>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</si>
  <si>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</si>
  <si>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</si>
  <si>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</si>
  <si>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</si>
  <si>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</si>
  <si>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</si>
  <si>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</si>
  <si>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</si>
  <si>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</si>
  <si>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</si>
  <si>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</si>
  <si>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</si>
  <si>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</si>
  <si>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</si>
  <si>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</si>
  <si>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</si>
  <si>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</si>
  <si>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</si>
  <si>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</si>
  <si>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</si>
  <si>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</si>
  <si>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</si>
  <si>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</si>
  <si>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</si>
  <si>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</si>
  <si>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</si>
  <si>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</si>
  <si>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</si>
  <si>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</si>
  <si>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</si>
  <si>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</si>
  <si>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</si>
  <si>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</si>
  <si>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</si>
  <si>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</si>
  <si>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</si>
  <si>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</si>
  <si>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</si>
  <si>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</si>
  <si>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</si>
  <si>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</si>
  <si>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</si>
  <si>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</si>
  <si>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</si>
  <si>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</si>
  <si>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</si>
  <si>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</si>
  <si>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</si>
  <si>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</si>
  <si>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</si>
  <si>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</si>
  <si>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</si>
  <si>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</si>
  <si>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</si>
  <si>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</si>
  <si>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</si>
  <si>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</si>
  <si>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</si>
  <si>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</si>
  <si>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</si>
  <si>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</si>
  <si>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</si>
  <si>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</si>
  <si>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</si>
  <si>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</si>
  <si>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</si>
  <si>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</si>
  <si>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</si>
  <si>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</si>
  <si>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</si>
  <si>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</si>
  <si>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</si>
  <si>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</si>
  <si>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</si>
  <si>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</si>
  <si>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</si>
  <si>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</si>
  <si>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</si>
  <si>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</si>
  <si>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</si>
  <si>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</si>
  <si>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</si>
  <si>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</si>
  <si>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</si>
  <si>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</si>
  <si>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</si>
  <si>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</si>
  <si>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</si>
  <si>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</si>
  <si>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</si>
  <si>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</si>
  <si>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</si>
  <si>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</si>
  <si>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</si>
  <si>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</si>
  <si>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</si>
  <si>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</si>
  <si>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</si>
  <si>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</si>
  <si>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</si>
  <si>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</si>
  <si>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</si>
  <si>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</si>
  <si>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</si>
  <si>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</si>
  <si>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</si>
  <si>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</si>
  <si>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</si>
  <si>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</si>
  <si>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</si>
  <si>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</si>
  <si>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</si>
  <si>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</si>
  <si>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</si>
  <si>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</si>
  <si>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</si>
  <si>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</si>
  <si>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</si>
  <si>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</si>
  <si>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</si>
  <si>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</si>
  <si>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</si>
  <si>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</si>
  <si>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</si>
  <si>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</si>
  <si>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</si>
  <si>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</si>
  <si>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</si>
  <si>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</si>
  <si>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</si>
  <si>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</si>
  <si>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</si>
  <si>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</si>
  <si>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</si>
  <si>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</si>
  <si>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</si>
  <si>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</si>
  <si>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</si>
  <si>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</si>
  <si>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</si>
  <si>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</si>
  <si>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</si>
  <si>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</si>
  <si>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</si>
  <si>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</si>
  <si>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</si>
  <si>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</si>
  <si>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</si>
  <si>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</si>
  <si>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</si>
  <si>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</si>
  <si>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</si>
  <si>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</si>
  <si>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</si>
  <si>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</si>
  <si>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</si>
  <si>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</si>
  <si>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</si>
  <si>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</si>
  <si>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</si>
  <si>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</si>
  <si>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</si>
  <si>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</si>
  <si>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</si>
  <si>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</si>
  <si>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</si>
  <si>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</si>
  <si>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</si>
  <si>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</si>
  <si>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</si>
  <si>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</si>
  <si>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</si>
  <si>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</si>
  <si>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</si>
  <si>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</si>
  <si>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</si>
  <si>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</si>
  <si>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</si>
  <si>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</si>
  <si>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</si>
  <si>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</si>
  <si>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</si>
  <si>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</si>
  <si>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</si>
  <si>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</si>
  <si>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</si>
  <si>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</si>
  <si>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</si>
  <si>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</si>
  <si>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</si>
  <si>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</si>
  <si>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</si>
  <si>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</si>
  <si>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</si>
  <si>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</si>
  <si>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</si>
  <si>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</si>
  <si>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</si>
  <si>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</si>
  <si>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</si>
  <si>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</si>
  <si>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</si>
  <si>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</si>
  <si>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</si>
  <si>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</si>
  <si>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</si>
  <si>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</si>
  <si>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</si>
  <si>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</si>
  <si>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</si>
  <si>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</si>
  <si>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</si>
  <si>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</si>
  <si>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</si>
  <si>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</si>
  <si>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</si>
  <si>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</si>
  <si>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</si>
  <si>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</si>
  <si>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</si>
  <si>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</si>
  <si>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</si>
  <si>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</si>
  <si>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</si>
  <si>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</si>
  <si>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</si>
  <si>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</si>
  <si>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</si>
  <si>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</si>
  <si>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</si>
  <si>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</si>
  <si>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</si>
  <si>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</si>
  <si>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</si>
  <si>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</si>
  <si>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</si>
  <si>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</si>
  <si>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</si>
  <si>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</si>
  <si>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</si>
  <si>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</si>
  <si>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</si>
  <si>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</si>
  <si>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</si>
  <si>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</si>
  <si>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</si>
  <si>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</si>
  <si>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</si>
  <si>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</si>
  <si>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</si>
  <si>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</si>
  <si>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</si>
  <si>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</si>
  <si>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</si>
  <si>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</si>
  <si>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</si>
  <si>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</si>
  <si>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</si>
  <si>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</si>
  <si>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</si>
  <si>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</si>
  <si>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</si>
  <si>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</si>
  <si>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</si>
  <si>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</si>
  <si>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</si>
  <si>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</si>
  <si>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</si>
  <si>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</si>
  <si>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</si>
  <si>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</si>
  <si>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</si>
  <si>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</si>
  <si>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</si>
  <si>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</si>
  <si>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</si>
  <si>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</si>
  <si>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</si>
  <si>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</si>
  <si>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</si>
  <si>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</si>
  <si>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</si>
  <si>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</si>
  <si>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</si>
  <si>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</si>
  <si>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</si>
  <si>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</si>
  <si>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</si>
  <si>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</si>
  <si>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</si>
  <si>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</si>
  <si>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</si>
  <si>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</si>
  <si>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</si>
  <si>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</si>
  <si>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</si>
  <si>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</si>
  <si>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</si>
  <si>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</si>
  <si>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</si>
  <si>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</si>
  <si>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</si>
  <si>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</si>
  <si>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</si>
  <si>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</si>
  <si>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</si>
  <si>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</si>
  <si>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</si>
  <si>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</si>
  <si>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</si>
  <si>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</si>
  <si>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</si>
  <si>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</si>
  <si>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</si>
  <si>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</si>
  <si>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</si>
  <si>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</si>
  <si>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</si>
  <si>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</si>
  <si>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</si>
  <si>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</si>
  <si>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</si>
  <si>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</si>
  <si>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</si>
  <si>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</si>
  <si>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</si>
  <si>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</si>
  <si>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</si>
  <si>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</si>
  <si>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</si>
  <si>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</si>
  <si>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</si>
  <si>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</si>
  <si>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</si>
  <si>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</si>
  <si>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</si>
  <si>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</si>
  <si>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</si>
  <si>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</si>
  <si>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</si>
  <si>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</si>
  <si>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</si>
  <si>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</si>
  <si>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</si>
  <si>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</si>
  <si>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</si>
  <si>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</si>
  <si>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</si>
  <si>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</si>
  <si>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</si>
  <si>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</si>
  <si>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</si>
  <si>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</si>
  <si>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</si>
  <si>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</si>
  <si>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</si>
  <si>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</si>
  <si>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</si>
  <si>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</si>
  <si>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</si>
  <si>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</si>
  <si>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</si>
  <si>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</si>
  <si>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</si>
  <si>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</si>
  <si>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</si>
  <si>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</si>
  <si>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</si>
  <si>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</si>
  <si>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</si>
  <si>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</si>
  <si>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</si>
  <si>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</si>
  <si>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</si>
  <si>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</si>
  <si>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</si>
  <si>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</si>
  <si>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</si>
  <si>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</si>
  <si>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</si>
  <si>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</si>
  <si>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</si>
  <si>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</si>
  <si>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</si>
  <si>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</si>
  <si>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</si>
  <si>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</si>
  <si>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</si>
  <si>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</si>
  <si>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</si>
  <si>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</si>
  <si>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</si>
  <si>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</si>
  <si>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</si>
  <si>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</si>
  <si>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</si>
  <si>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</si>
  <si>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</si>
  <si>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</si>
  <si>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</si>
  <si>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</si>
  <si>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</si>
  <si>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</si>
  <si>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</si>
  <si>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</si>
  <si>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</si>
  <si>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</si>
  <si>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</si>
  <si>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</si>
  <si>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</si>
  <si>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</si>
  <si>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</si>
  <si>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</si>
  <si>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</si>
  <si>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</si>
  <si>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</si>
  <si>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</si>
  <si>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</si>
  <si>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</si>
  <si>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</si>
  <si>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</si>
  <si>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</si>
  <si>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</si>
  <si>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</si>
  <si>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</si>
  <si>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</si>
  <si>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</si>
  <si>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</si>
  <si>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</si>
  <si>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</si>
  <si>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</si>
  <si>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</si>
  <si>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</si>
  <si>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</si>
  <si>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</si>
  <si>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</si>
  <si>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</si>
  <si>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</si>
  <si>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</si>
  <si>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</si>
  <si>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</si>
  <si>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</si>
  <si>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</si>
  <si>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</si>
  <si>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</si>
  <si>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</si>
  <si>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</si>
  <si>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</si>
  <si>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</si>
  <si>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</si>
  <si>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</si>
  <si>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</si>
  <si>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</si>
  <si>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</si>
  <si>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</si>
  <si>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</si>
  <si>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</si>
  <si>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</si>
  <si>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</si>
  <si>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</si>
  <si>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</si>
  <si>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</si>
  <si>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</si>
  <si>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</si>
  <si>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</si>
  <si>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</si>
  <si>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</si>
  <si>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</si>
  <si>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</si>
  <si>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</si>
  <si>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</si>
  <si>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</si>
  <si>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</si>
  <si>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</si>
  <si>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</si>
  <si>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</si>
  <si>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</si>
  <si>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</si>
  <si>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</si>
  <si>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</si>
  <si>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</si>
  <si>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</si>
  <si>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</si>
  <si>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</si>
  <si>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</si>
  <si>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</si>
  <si>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</si>
  <si>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</si>
  <si>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</si>
  <si>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</si>
  <si>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</si>
  <si>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</si>
  <si>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</si>
  <si>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</si>
  <si>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</si>
  <si>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</si>
  <si>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</si>
  <si>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</si>
  <si>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</si>
  <si>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</si>
  <si>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</si>
  <si>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</si>
  <si>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</si>
  <si>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</si>
  <si>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</si>
  <si>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</si>
  <si>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</si>
  <si>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</si>
  <si>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</si>
  <si>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</si>
  <si>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</si>
  <si>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</si>
  <si>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</si>
  <si>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</si>
  <si>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</si>
  <si>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</si>
  <si>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</si>
  <si>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</si>
  <si>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</si>
  <si>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</si>
  <si>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</si>
  <si>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</si>
  <si>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</si>
  <si>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</si>
  <si>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</si>
  <si>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</si>
  <si>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</si>
  <si>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</si>
  <si>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</si>
  <si>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</si>
  <si>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</si>
  <si>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</si>
  <si>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</si>
  <si>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</si>
  <si>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</si>
  <si>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</si>
  <si>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</si>
  <si>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</si>
  <si>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</si>
  <si>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</si>
  <si>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</si>
  <si>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</si>
  <si>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</si>
  <si>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</si>
  <si>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</si>
  <si>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</si>
  <si>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</si>
  <si>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</si>
  <si>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</si>
  <si>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</si>
  <si>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</si>
  <si>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</si>
  <si>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</si>
  <si>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</si>
  <si>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</si>
  <si>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</si>
  <si>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</si>
  <si>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</si>
  <si>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</si>
  <si>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</si>
  <si>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</si>
  <si>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</si>
  <si>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</si>
  <si>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</si>
  <si>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</si>
  <si>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</si>
  <si>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</si>
  <si>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</si>
  <si>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</si>
  <si>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</si>
  <si>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</si>
  <si>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</si>
  <si>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</si>
  <si>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</si>
  <si>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</si>
  <si>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</si>
  <si>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</si>
  <si>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</si>
  <si>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</si>
  <si>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</si>
  <si>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</si>
  <si>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</si>
  <si>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</si>
  <si>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</si>
  <si>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</si>
  <si>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</si>
  <si>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</si>
  <si>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</si>
  <si>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</si>
  <si>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</si>
  <si>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</si>
  <si>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</si>
  <si>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</si>
  <si>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</si>
  <si>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</si>
  <si>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</si>
  <si>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</si>
  <si>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</si>
  <si>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</si>
  <si>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</si>
  <si>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</si>
  <si>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</si>
  <si>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</si>
  <si>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</si>
  <si>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</si>
  <si>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</si>
  <si>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</si>
  <si>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</si>
  <si>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</si>
  <si>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</si>
  <si>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</si>
  <si>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</si>
  <si>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</si>
  <si>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</si>
  <si>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</si>
  <si>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</si>
  <si>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</si>
  <si>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</si>
  <si>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</si>
  <si>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</si>
  <si>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</si>
  <si>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</si>
  <si>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</si>
  <si>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</si>
  <si>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</si>
  <si>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</si>
  <si>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</si>
  <si>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</si>
  <si>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</si>
  <si>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</si>
  <si>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</si>
  <si>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</si>
  <si>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</si>
  <si>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</si>
  <si>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</si>
  <si>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</si>
  <si>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</si>
  <si>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</si>
  <si>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</si>
  <si>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</si>
  <si>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</si>
  <si>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</si>
  <si>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</si>
  <si>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</si>
  <si>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</si>
  <si>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</si>
  <si>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</si>
  <si>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</si>
  <si>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</si>
  <si>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</si>
  <si>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</si>
  <si>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</si>
  <si>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</si>
  <si>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</si>
  <si>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</si>
  <si>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</si>
  <si>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</si>
  <si>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</si>
  <si>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</si>
  <si>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</si>
  <si>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</si>
  <si>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</si>
  <si>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</si>
  <si>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</si>
  <si>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</si>
  <si>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</si>
  <si>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</si>
  <si>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</si>
  <si>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</si>
  <si>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</si>
  <si>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</si>
  <si>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</si>
  <si>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</si>
  <si>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</si>
  <si>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</si>
  <si>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</si>
  <si>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</si>
  <si>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</si>
  <si>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</si>
  <si>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</si>
  <si>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</si>
  <si>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</si>
  <si>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</si>
  <si>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</si>
  <si>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</si>
  <si>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</si>
  <si>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</si>
  <si>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</si>
  <si>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</si>
  <si>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</si>
  <si>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</si>
  <si>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</si>
  <si>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</si>
  <si>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</si>
  <si>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</si>
  <si>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</si>
  <si>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</si>
  <si>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</si>
  <si>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</si>
  <si>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</si>
  <si>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</si>
  <si>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</si>
  <si>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</si>
  <si>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</si>
  <si>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</si>
  <si>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</si>
  <si>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</si>
  <si>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</si>
  <si>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</si>
  <si>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</si>
  <si>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</si>
  <si>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</si>
  <si>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</si>
  <si>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</si>
  <si>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</si>
  <si>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</si>
  <si>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</si>
  <si>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</si>
  <si>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</si>
  <si>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</si>
  <si>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</si>
  <si>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</si>
  <si>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</si>
  <si>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</si>
  <si>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</si>
  <si>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</si>
  <si>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</si>
  <si>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</si>
  <si>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</si>
  <si>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</si>
  <si>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</si>
  <si>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</si>
  <si>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</si>
  <si>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</si>
  <si>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</si>
  <si>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</si>
  <si>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</si>
  <si>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</si>
  <si>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</si>
  <si>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</si>
  <si>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</si>
  <si>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</si>
  <si>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</si>
  <si>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</si>
  <si>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</si>
  <si>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</si>
  <si>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</si>
  <si>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</si>
  <si>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</si>
  <si>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</si>
  <si>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</si>
  <si>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</si>
  <si>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</si>
  <si>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</si>
  <si>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</si>
  <si>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</si>
  <si>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</si>
  <si>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</si>
  <si>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</si>
  <si>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</si>
  <si>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</si>
  <si>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</si>
  <si>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</si>
  <si>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</si>
  <si>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</si>
  <si>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</si>
  <si>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</si>
  <si>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</si>
  <si>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</si>
  <si>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</si>
  <si>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</si>
  <si>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</si>
  <si>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</si>
  <si>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</si>
  <si>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</si>
  <si>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</si>
  <si>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</si>
  <si>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</si>
  <si>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</si>
  <si>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</si>
  <si>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</si>
  <si>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</si>
  <si>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</si>
  <si>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</si>
  <si>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</si>
  <si>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</si>
  <si>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</si>
  <si>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</si>
  <si>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</si>
  <si>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</si>
  <si>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</si>
  <si>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</si>
  <si>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</si>
  <si>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</si>
  <si>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</si>
  <si>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</si>
  <si>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</si>
  <si>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</si>
  <si>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</si>
  <si>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</si>
  <si>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</si>
  <si>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</si>
  <si>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</si>
  <si>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</si>
  <si>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</si>
  <si>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</si>
  <si>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</si>
  <si>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</si>
  <si>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</si>
  <si>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</si>
  <si>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</si>
  <si>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</si>
  <si>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</si>
  <si>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</si>
  <si>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</si>
  <si>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</si>
  <si>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</si>
  <si>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</si>
  <si>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</si>
  <si>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</si>
  <si>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</si>
  <si>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</si>
  <si>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</si>
  <si>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</si>
  <si>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</si>
  <si>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</si>
  <si>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</si>
  <si>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</si>
  <si>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</si>
  <si>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</si>
  <si>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</si>
  <si>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</si>
  <si>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</si>
  <si>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</si>
  <si>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</si>
  <si>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</si>
  <si>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</si>
  <si>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</si>
  <si>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</si>
  <si>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</si>
  <si>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</si>
  <si>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</si>
  <si>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</si>
  <si>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</si>
  <si>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</si>
  <si>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</si>
  <si>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</si>
  <si>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</si>
  <si>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</si>
  <si>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</si>
  <si>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</si>
  <si>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</si>
  <si>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</si>
  <si>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</si>
  <si>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</si>
  <si>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</si>
  <si>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</si>
  <si>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</si>
  <si>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</si>
  <si>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</si>
  <si>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</si>
  <si>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</si>
  <si>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</si>
  <si>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</si>
  <si>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</si>
  <si>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</si>
  <si>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</si>
  <si>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</si>
  <si>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</si>
  <si>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</si>
  <si>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</si>
  <si>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</si>
  <si>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</si>
  <si>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</si>
  <si>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</si>
  <si>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</si>
  <si>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</si>
  <si>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</si>
  <si>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</si>
  <si>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</si>
  <si>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</si>
  <si>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</si>
  <si>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</si>
  <si>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</si>
  <si>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</si>
  <si>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</si>
  <si>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</si>
  <si>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</si>
  <si>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</si>
  <si>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</si>
  <si>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</si>
  <si>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</si>
  <si>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</si>
  <si>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</si>
  <si>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</si>
  <si>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</si>
  <si>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</si>
  <si>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</si>
  <si>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</si>
  <si>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</si>
  <si>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</si>
  <si>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</si>
  <si>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</si>
  <si>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</si>
  <si>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</si>
  <si>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</si>
  <si>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</si>
  <si>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</si>
  <si>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</si>
  <si>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</si>
  <si>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</si>
  <si>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</si>
  <si>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</si>
  <si>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</si>
  <si>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</si>
  <si>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</si>
  <si>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</si>
  <si>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</si>
  <si>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</si>
  <si>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</si>
  <si>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</si>
  <si>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</si>
  <si>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</si>
  <si>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</si>
  <si>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</si>
  <si>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</si>
  <si>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</si>
  <si>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</si>
  <si>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</si>
  <si>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</si>
  <si>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</si>
  <si>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</si>
  <si>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</si>
  <si>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</si>
  <si>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</si>
  <si>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</si>
  <si>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</si>
  <si>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</si>
  <si>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</si>
  <si>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</si>
  <si>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</si>
  <si>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</si>
  <si>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</si>
  <si>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</si>
  <si>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</si>
  <si>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</si>
  <si>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</si>
  <si>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</si>
  <si>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</si>
  <si>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</si>
  <si>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</si>
  <si>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</si>
  <si>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</si>
  <si>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</si>
  <si>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</si>
  <si>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</si>
  <si>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</si>
  <si>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</si>
  <si>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</si>
  <si>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</si>
  <si>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</si>
  <si>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</si>
  <si>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</si>
  <si>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</si>
  <si>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</si>
  <si>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</si>
  <si>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</si>
  <si>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</si>
  <si>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</si>
  <si>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</si>
  <si>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</si>
  <si>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</si>
  <si>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</si>
  <si>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</si>
  <si>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</si>
  <si>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</si>
  <si>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</si>
  <si>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</si>
  <si>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</si>
  <si>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</si>
  <si>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</si>
  <si>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</si>
  <si>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</si>
  <si>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</si>
  <si>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</si>
  <si>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</si>
  <si>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</si>
  <si>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</si>
  <si>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</si>
  <si>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</si>
  <si>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</si>
  <si>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</si>
  <si>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</si>
  <si>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</si>
  <si>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</si>
  <si>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</si>
  <si>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</si>
  <si>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</si>
  <si>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</si>
  <si>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</si>
  <si>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</si>
  <si>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</si>
  <si>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</si>
  <si>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</si>
  <si>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</si>
  <si>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</si>
  <si>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</si>
  <si>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</si>
  <si>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</si>
  <si>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</si>
  <si>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</si>
  <si>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</si>
  <si>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</si>
  <si>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</si>
  <si>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</si>
  <si>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</si>
  <si>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</si>
  <si>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</si>
  <si>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</si>
  <si>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</si>
  <si>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</si>
  <si>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</si>
  <si>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</si>
  <si>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</si>
  <si>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</si>
  <si>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</si>
  <si>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</si>
  <si>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</si>
  <si>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</si>
  <si>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</si>
  <si>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</si>
  <si>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</si>
  <si>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</si>
  <si>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</si>
  <si>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</si>
  <si>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</si>
  <si>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</si>
  <si>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</si>
  <si>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</si>
  <si>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</si>
  <si>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</si>
  <si>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</si>
  <si>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</si>
  <si>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</si>
  <si>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</si>
  <si>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</si>
  <si>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</si>
  <si>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</si>
  <si>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</si>
  <si>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</si>
  <si>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</si>
  <si>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</si>
  <si>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</si>
  <si>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</si>
  <si>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</si>
  <si>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</si>
  <si>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</si>
  <si>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</si>
  <si>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</si>
  <si>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</si>
  <si>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</si>
  <si>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</si>
  <si>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</si>
  <si>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</si>
  <si>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</si>
  <si>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</si>
  <si>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</si>
  <si>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</si>
  <si>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</si>
  <si>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</si>
  <si>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</si>
  <si>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</si>
  <si>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</si>
  <si>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</si>
  <si>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</si>
  <si>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</si>
  <si>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</si>
  <si>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</si>
  <si>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</si>
  <si>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</si>
  <si>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</si>
  <si>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</si>
  <si>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</si>
  <si>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</si>
  <si>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</si>
  <si>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</si>
  <si>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</si>
  <si>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</si>
  <si>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</si>
  <si>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</si>
  <si>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</si>
  <si>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</si>
  <si>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</si>
  <si>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</si>
  <si>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</si>
  <si>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</si>
  <si>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</si>
  <si>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</si>
  <si>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</si>
  <si>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</si>
  <si>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</si>
  <si>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</si>
  <si>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</si>
  <si>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</si>
  <si>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</si>
  <si>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</si>
  <si>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</si>
  <si>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</si>
  <si>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</si>
  <si>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</si>
  <si>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</si>
  <si>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</si>
  <si>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</si>
  <si>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</si>
  <si>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</si>
  <si>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</si>
  <si>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</si>
  <si>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</si>
  <si>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</si>
  <si>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</si>
  <si>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</si>
  <si>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</si>
  <si>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</si>
  <si>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</si>
  <si>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</si>
  <si>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</si>
  <si>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</si>
  <si>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</si>
  <si>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</si>
  <si>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</si>
  <si>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</si>
  <si>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</si>
  <si>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</si>
  <si>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</si>
  <si>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</si>
  <si>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</si>
  <si>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</si>
  <si>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</si>
  <si>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</si>
  <si>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</si>
  <si>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</si>
  <si>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</si>
  <si>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</si>
  <si>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</si>
  <si>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</si>
  <si>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</si>
  <si>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</si>
  <si>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</si>
  <si>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</si>
  <si>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</si>
  <si>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</si>
  <si>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</si>
  <si>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</si>
  <si>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</si>
  <si>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</si>
  <si>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</si>
  <si>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</si>
  <si>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</si>
  <si>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</si>
  <si>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</si>
  <si>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</si>
  <si>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</si>
  <si>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</si>
  <si>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</si>
  <si>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</si>
  <si>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</si>
  <si>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</si>
  <si>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</si>
  <si>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</si>
  <si>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</si>
  <si>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</si>
  <si>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</si>
  <si>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</si>
  <si>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</si>
  <si>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</si>
  <si>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</si>
  <si>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</si>
  <si>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</si>
  <si>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</si>
  <si>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</si>
  <si>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</si>
  <si>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</si>
  <si>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</si>
  <si>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</si>
  <si>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</si>
  <si>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</si>
  <si>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</si>
  <si>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</si>
  <si>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</si>
  <si>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</si>
  <si>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</si>
  <si>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</si>
  <si>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</si>
  <si>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</si>
  <si>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</si>
  <si>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</si>
  <si>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</si>
  <si>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</si>
  <si>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</si>
  <si>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</si>
  <si>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</si>
  <si>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</si>
  <si>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</si>
  <si>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</si>
  <si>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</si>
  <si>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</si>
  <si>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</si>
  <si>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</si>
  <si>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</si>
  <si>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</si>
  <si>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</si>
  <si>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</si>
  <si>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</si>
  <si>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</si>
  <si>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</si>
  <si>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</si>
  <si>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</si>
  <si>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</si>
  <si>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</si>
  <si>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</si>
  <si>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</si>
  <si>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</si>
  <si>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</si>
  <si>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</si>
  <si>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</si>
  <si>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</si>
  <si>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</si>
  <si>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</si>
  <si>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</si>
  <si>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</si>
  <si>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</si>
  <si>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</si>
  <si>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</si>
  <si>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</si>
  <si>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</si>
  <si>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</si>
  <si>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</si>
  <si>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</si>
  <si>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</si>
  <si>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</si>
  <si>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</si>
  <si>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</si>
  <si>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</si>
  <si>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</si>
  <si>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</si>
  <si>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</si>
  <si>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</si>
  <si>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</si>
  <si>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</si>
  <si>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</si>
  <si>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</si>
  <si>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</si>
  <si>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</si>
  <si>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</si>
  <si>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</si>
  <si>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</si>
  <si>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</si>
  <si>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</si>
  <si>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</si>
  <si>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</si>
  <si>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</si>
  <si>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</si>
  <si>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</si>
  <si>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</si>
  <si>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</si>
  <si>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</si>
  <si>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</si>
  <si>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</si>
  <si>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</si>
  <si>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</si>
  <si>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</si>
  <si>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</si>
  <si>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</si>
  <si>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</si>
  <si>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</si>
  <si>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</si>
  <si>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</si>
  <si>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</si>
  <si>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</si>
  <si>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</si>
  <si>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</si>
  <si>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</si>
  <si>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</si>
  <si>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</si>
  <si>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</si>
  <si>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</si>
  <si>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</si>
  <si>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</si>
  <si>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</si>
  <si>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</si>
  <si>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</si>
  <si>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</si>
  <si>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</si>
  <si>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</si>
  <si>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</si>
  <si>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</si>
  <si>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</si>
  <si>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</si>
  <si>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</si>
  <si>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</si>
  <si>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</si>
  <si>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</si>
  <si>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</si>
  <si>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</si>
  <si>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</si>
  <si>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</si>
  <si>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</si>
  <si>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</si>
  <si>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</si>
  <si>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</si>
  <si>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</si>
  <si>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</si>
  <si>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</si>
  <si>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</si>
  <si>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</si>
  <si>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</si>
  <si>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</si>
  <si>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</si>
  <si>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</si>
  <si>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</si>
  <si>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</si>
  <si>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</si>
  <si>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</si>
  <si>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</si>
  <si>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</si>
  <si>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</si>
  <si>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</si>
  <si>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</si>
  <si>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</si>
  <si>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</si>
  <si>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</si>
  <si>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</si>
  <si>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</si>
  <si>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</si>
  <si>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</si>
  <si>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</si>
  <si>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</si>
  <si>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</si>
  <si>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</si>
  <si>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</si>
  <si>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</si>
  <si>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</si>
  <si>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</si>
  <si>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</si>
  <si>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</si>
  <si>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</si>
  <si>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</si>
  <si>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</si>
  <si>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</si>
  <si>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</si>
  <si>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</si>
  <si>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</si>
  <si>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</si>
  <si>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</si>
  <si>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</si>
  <si>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</si>
  <si>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</si>
  <si>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</si>
  <si>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</si>
  <si>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</si>
  <si>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</si>
  <si>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</si>
  <si>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</si>
  <si>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</si>
  <si>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</si>
  <si>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</si>
  <si>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</si>
  <si>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</si>
  <si>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</si>
  <si>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</si>
  <si>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</si>
  <si>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</si>
  <si>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</si>
  <si>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</si>
  <si>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</si>
  <si>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</si>
  <si>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</si>
  <si>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</si>
  <si>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</si>
  <si>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</si>
  <si>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</si>
  <si>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</si>
  <si>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</si>
  <si>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</si>
  <si>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</si>
  <si>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</si>
  <si>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</si>
  <si>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</si>
  <si>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</si>
  <si>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</si>
  <si>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</si>
  <si>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</si>
  <si>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</si>
  <si>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</si>
  <si>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</si>
  <si>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</si>
  <si>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</si>
  <si>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</si>
  <si>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</si>
  <si>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</si>
  <si>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</si>
  <si>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</si>
  <si>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</si>
  <si>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</si>
  <si>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</si>
  <si>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</si>
  <si>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</si>
  <si>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</si>
  <si>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</si>
  <si>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</si>
  <si>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</si>
  <si>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</si>
  <si>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</si>
  <si>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</si>
  <si>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</si>
  <si>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</si>
  <si>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</si>
  <si>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</si>
  <si>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</si>
  <si>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</si>
  <si>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</si>
  <si>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</si>
  <si>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</si>
  <si>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</si>
  <si>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</si>
  <si>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</si>
  <si>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</si>
  <si>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</si>
  <si>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</si>
  <si>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</si>
  <si>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</si>
  <si>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</si>
  <si>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</si>
  <si>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</si>
  <si>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</si>
  <si>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</si>
  <si>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</si>
  <si>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</si>
  <si>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</si>
  <si>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</si>
  <si>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</si>
  <si>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</si>
  <si>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</si>
  <si>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</si>
  <si>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</si>
  <si>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</si>
  <si>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</si>
  <si>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</si>
  <si>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</si>
  <si>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</si>
  <si>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</si>
  <si>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</si>
  <si>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</si>
  <si>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</si>
  <si>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</si>
  <si>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</si>
  <si>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</si>
  <si>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</si>
  <si>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</si>
  <si>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</si>
  <si>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</si>
  <si>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</si>
  <si>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</si>
  <si>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</si>
  <si>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</si>
  <si>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</si>
  <si>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</si>
  <si>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</si>
  <si>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</si>
  <si>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</si>
  <si>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</si>
  <si>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</si>
  <si>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</si>
  <si>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</si>
  <si>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</si>
  <si>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</si>
  <si>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</si>
  <si>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</si>
  <si>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</si>
  <si>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</si>
  <si>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</si>
  <si>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</si>
  <si>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</si>
  <si>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</si>
  <si>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</si>
  <si>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</si>
  <si>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</si>
  <si>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</si>
  <si>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</si>
  <si>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</si>
  <si>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</si>
  <si>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</si>
  <si>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</si>
  <si>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</si>
  <si>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</si>
  <si>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</si>
  <si>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</si>
  <si>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</si>
  <si>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</si>
  <si>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</si>
  <si>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</si>
  <si>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</si>
  <si>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</si>
  <si>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</si>
  <si>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</si>
  <si>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</si>
  <si>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</si>
  <si>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</si>
  <si>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</si>
  <si>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</si>
  <si>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</si>
  <si>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</si>
  <si>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</si>
  <si>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</si>
  <si>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</si>
  <si>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</si>
  <si>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</si>
  <si>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</si>
  <si>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</si>
  <si>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</si>
  <si>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</si>
  <si>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</si>
  <si>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</si>
  <si>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</si>
  <si>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</si>
  <si>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</si>
  <si>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</si>
  <si>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</si>
  <si>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</si>
  <si>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</si>
  <si>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</si>
  <si>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</si>
  <si>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</si>
  <si>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</si>
  <si>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</si>
  <si>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</si>
  <si>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</si>
  <si>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</si>
  <si>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</si>
  <si>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</si>
  <si>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</si>
  <si>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</si>
  <si>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</si>
  <si>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</si>
  <si>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</si>
  <si>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</si>
  <si>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</si>
  <si>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</si>
  <si>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</si>
  <si>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</si>
  <si>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</si>
  <si>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</si>
  <si>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</si>
  <si>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</si>
  <si>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</si>
  <si>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</si>
  <si>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</si>
  <si>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</si>
  <si>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</si>
  <si>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</si>
  <si>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</si>
  <si>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</si>
  <si>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</si>
  <si>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</si>
  <si>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</si>
  <si>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</si>
  <si>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</si>
  <si>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</si>
  <si>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</si>
  <si>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</si>
  <si>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</si>
  <si>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</si>
  <si>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</si>
  <si>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</si>
  <si>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</si>
  <si>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</si>
  <si>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</si>
  <si>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</si>
  <si>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</si>
  <si>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</si>
  <si>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</si>
  <si>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</si>
  <si>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</si>
  <si>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</si>
  <si>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</si>
  <si>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</si>
  <si>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</si>
  <si>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</si>
  <si>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</si>
  <si>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</si>
  <si>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</si>
  <si>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</si>
  <si>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</si>
  <si>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</si>
  <si>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</si>
  <si>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</si>
  <si>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</si>
  <si>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</si>
  <si>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</si>
  <si>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</si>
  <si>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</si>
  <si>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</si>
  <si>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</si>
  <si>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</si>
  <si>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</si>
  <si>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</si>
  <si>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</si>
  <si>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</si>
  <si>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</si>
  <si>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</si>
  <si>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</si>
  <si>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</si>
  <si>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</si>
  <si>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</si>
  <si>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</si>
  <si>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</si>
  <si>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</si>
  <si>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</si>
  <si>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</si>
  <si>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</si>
  <si>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</si>
  <si>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</si>
  <si>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</si>
  <si>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</si>
  <si>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</si>
  <si>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</si>
  <si>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</si>
  <si>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</si>
  <si>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</si>
  <si>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</si>
  <si>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</si>
  <si>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</si>
  <si>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</si>
  <si>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</si>
  <si>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</si>
  <si>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</si>
  <si>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</si>
  <si>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</si>
  <si>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</si>
  <si>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</si>
  <si>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</si>
  <si>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</si>
  <si>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</si>
  <si>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</si>
  <si>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</si>
  <si>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</si>
  <si>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</si>
  <si>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</si>
  <si>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</si>
  <si>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</si>
  <si>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</si>
  <si>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</si>
  <si>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</si>
  <si>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</si>
  <si>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</si>
  <si>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</si>
  <si>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</si>
  <si>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</si>
  <si>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</si>
  <si>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</si>
  <si>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</si>
  <si>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</si>
  <si>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</si>
  <si>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</si>
  <si>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</si>
  <si>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</si>
  <si>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</si>
  <si>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</si>
  <si>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</si>
  <si>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</si>
  <si>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</si>
  <si>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</si>
  <si>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</si>
  <si>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</si>
  <si>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</si>
  <si>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</si>
  <si>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</si>
  <si>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</si>
  <si>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</si>
  <si>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</si>
  <si>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</si>
  <si>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</si>
  <si>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</si>
  <si>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</si>
  <si>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</si>
  <si>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</si>
  <si>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</si>
  <si>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</si>
  <si>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</si>
  <si>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</si>
  <si>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</si>
  <si>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</si>
  <si>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</si>
  <si>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</si>
  <si>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</si>
  <si>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</si>
  <si>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</si>
  <si>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</si>
  <si>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</si>
  <si>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</si>
  <si>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</si>
  <si>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</si>
  <si>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</si>
  <si>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</si>
  <si>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</si>
  <si>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</si>
  <si>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</si>
  <si>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</si>
  <si>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</si>
  <si>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</si>
  <si>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</si>
  <si>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</si>
  <si>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</si>
  <si>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</si>
  <si>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</si>
  <si>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</si>
  <si>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</si>
  <si>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</si>
  <si>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</si>
  <si>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</si>
  <si>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</si>
  <si>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</si>
  <si>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</si>
  <si>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</si>
  <si>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</si>
  <si>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</si>
  <si>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</si>
  <si>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</si>
  <si>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</si>
  <si>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</si>
  <si>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</si>
  <si>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</si>
  <si>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</si>
  <si>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</si>
  <si>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</si>
  <si>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</si>
  <si>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</si>
  <si>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</si>
  <si>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</si>
  <si>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</si>
  <si>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</si>
  <si>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</si>
  <si>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</si>
  <si>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</si>
  <si>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</si>
  <si>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</si>
  <si>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</si>
  <si>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</si>
  <si>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</si>
  <si>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</si>
  <si>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</si>
  <si>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</si>
  <si>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</si>
  <si>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</si>
  <si>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</si>
  <si>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</si>
  <si>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</si>
  <si>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</si>
  <si>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</si>
  <si>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</si>
  <si>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</si>
  <si>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</si>
  <si>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</si>
  <si>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</si>
  <si>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</si>
  <si>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</si>
  <si>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</si>
  <si>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</si>
  <si>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</si>
  <si>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</si>
  <si>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</si>
  <si>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</si>
  <si>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</si>
  <si>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</si>
  <si>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</si>
  <si>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</si>
  <si>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</si>
  <si>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</si>
  <si>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</si>
  <si>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</si>
  <si>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</si>
  <si>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</si>
  <si>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</si>
  <si>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</si>
  <si>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</si>
  <si>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</si>
  <si>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</si>
  <si>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</si>
  <si>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</si>
  <si>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</si>
  <si>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</si>
  <si>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</si>
  <si>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</si>
  <si>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</si>
  <si>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</si>
  <si>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</si>
  <si>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</si>
  <si>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</si>
  <si>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</si>
  <si>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</si>
  <si>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</si>
  <si>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</si>
  <si>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</si>
  <si>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</si>
  <si>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</si>
  <si>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</si>
  <si>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</si>
  <si>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</si>
  <si>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</si>
  <si>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</si>
  <si>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</si>
  <si>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</si>
  <si>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</si>
  <si>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</si>
  <si>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</si>
  <si>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</si>
  <si>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</si>
  <si>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</si>
  <si>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</si>
  <si>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</si>
  <si>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</si>
  <si>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</si>
  <si>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</si>
  <si>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</si>
  <si>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</si>
  <si>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</si>
  <si>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</si>
  <si>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</si>
  <si>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</si>
  <si>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</si>
  <si>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</si>
  <si>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</si>
  <si>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</si>
  <si>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</si>
  <si>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</si>
  <si>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</si>
  <si>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</si>
  <si>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</si>
  <si>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</si>
  <si>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</si>
  <si>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</si>
  <si>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</si>
  <si>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</si>
  <si>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</si>
  <si>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</si>
  <si>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</si>
  <si>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</si>
  <si>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</si>
  <si>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</si>
  <si>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</si>
  <si>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</si>
  <si>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</si>
  <si>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</si>
  <si>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</si>
  <si>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</si>
  <si>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</si>
  <si>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</si>
  <si>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</si>
  <si>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</si>
  <si>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</si>
  <si>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</si>
  <si>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</si>
  <si>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</si>
  <si>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</si>
  <si>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</si>
  <si>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</si>
  <si>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</si>
  <si>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</si>
  <si>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</si>
  <si>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</si>
  <si>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</si>
  <si>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</si>
  <si>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</si>
  <si>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</si>
  <si>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</si>
  <si>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</si>
  <si>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</si>
  <si>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</si>
  <si>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</si>
  <si>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</si>
  <si>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</si>
  <si>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</si>
  <si>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</si>
  <si>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</si>
  <si>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</si>
  <si>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</si>
  <si>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</si>
  <si>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</si>
  <si>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</si>
  <si>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</si>
  <si>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</si>
  <si>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</si>
  <si>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</si>
  <si>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</si>
  <si>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</si>
  <si>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</si>
  <si>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</si>
  <si>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</si>
  <si>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</si>
  <si>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</si>
  <si>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</si>
  <si>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</si>
  <si>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</si>
  <si>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</si>
  <si>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</si>
  <si>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</si>
  <si>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</si>
  <si>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</si>
  <si>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</si>
  <si>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</si>
  <si>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</si>
  <si>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</si>
  <si>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</si>
  <si>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</si>
  <si>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</si>
  <si>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</si>
  <si>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</si>
  <si>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</si>
  <si>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</si>
  <si>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</si>
  <si>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</si>
  <si>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</si>
  <si>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</si>
  <si>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</si>
  <si>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</si>
  <si>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</si>
  <si>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</si>
  <si>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</si>
  <si>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</si>
  <si>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</si>
  <si>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</si>
  <si>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</si>
  <si>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</si>
  <si>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</si>
  <si>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</si>
  <si>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</si>
  <si>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</si>
  <si>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</si>
  <si>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</si>
  <si>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</si>
  <si>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</si>
  <si>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</si>
  <si>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</si>
  <si>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</si>
  <si>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</si>
  <si>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</si>
  <si>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</si>
  <si>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</si>
  <si>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</si>
  <si>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</si>
  <si>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</si>
  <si>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</si>
  <si>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</si>
  <si>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</si>
  <si>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</si>
  <si>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</si>
  <si>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</si>
  <si>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</si>
  <si>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</si>
  <si>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</si>
  <si>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</si>
  <si>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</si>
  <si>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</si>
  <si>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</si>
  <si>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</si>
  <si>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</si>
  <si>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</si>
  <si>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</si>
  <si>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</si>
  <si>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</si>
  <si>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</si>
  <si>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</si>
  <si>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</si>
  <si>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</si>
  <si>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</si>
  <si>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</si>
  <si>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</si>
  <si>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</si>
  <si>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</si>
  <si>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</si>
  <si>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</si>
  <si>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</si>
  <si>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</si>
  <si>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</si>
  <si>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</si>
  <si>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</si>
  <si>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</si>
  <si>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</si>
  <si>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</si>
  <si>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</si>
  <si>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</si>
  <si>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</si>
  <si>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</si>
  <si>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</si>
  <si>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</si>
  <si>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</si>
  <si>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</si>
  <si>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</si>
  <si>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</si>
  <si>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</si>
  <si>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</si>
  <si>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</si>
  <si>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</si>
  <si>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</si>
  <si>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</si>
  <si>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</si>
  <si>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</si>
  <si>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</si>
  <si>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</si>
  <si>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</si>
  <si>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</si>
  <si>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</si>
  <si>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</si>
  <si>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</si>
  <si>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</si>
  <si>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</si>
  <si>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</si>
  <si>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</si>
  <si>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</si>
  <si>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</si>
  <si>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</si>
  <si>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</si>
  <si>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</si>
  <si>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</si>
  <si>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</si>
  <si>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</si>
  <si>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</si>
  <si>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</si>
  <si>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</si>
  <si>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</si>
  <si>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</si>
  <si>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</si>
  <si>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</si>
  <si>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</si>
  <si>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</si>
  <si>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</si>
  <si>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</si>
  <si>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</si>
  <si>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</si>
  <si>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</si>
  <si>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</si>
  <si>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</si>
  <si>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</si>
  <si>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</si>
  <si>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</si>
  <si>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</si>
  <si>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</si>
  <si>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</si>
  <si>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</si>
  <si>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</si>
  <si>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</si>
  <si>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</si>
  <si>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</si>
  <si>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</si>
  <si>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</si>
  <si>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</si>
  <si>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</si>
  <si>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</si>
  <si>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</si>
  <si>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</si>
  <si>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</si>
  <si>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</si>
  <si>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</si>
  <si>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</si>
  <si>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</si>
  <si>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</si>
  <si>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</si>
  <si>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</si>
  <si>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</si>
  <si>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</si>
  <si>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</si>
  <si>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</si>
  <si>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</si>
  <si>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</si>
  <si>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</si>
  <si>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</si>
  <si>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</si>
  <si>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</si>
  <si>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</si>
  <si>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</si>
  <si>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</si>
  <si>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</si>
  <si>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</si>
  <si>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</si>
  <si>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</si>
  <si>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</si>
  <si>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</si>
  <si>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</si>
  <si>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</si>
  <si>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</si>
  <si>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</si>
  <si>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</si>
  <si>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</si>
  <si>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</si>
  <si>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</si>
  <si>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</si>
  <si>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</si>
  <si>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</si>
  <si>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</si>
  <si>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</si>
  <si>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</si>
  <si>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</si>
  <si>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</si>
  <si>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</si>
  <si>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</si>
  <si>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</si>
  <si>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</si>
  <si>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</si>
  <si>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</si>
  <si>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</si>
  <si>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</si>
  <si>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</si>
  <si>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</si>
  <si>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</si>
  <si>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</si>
  <si>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</si>
  <si>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</si>
  <si>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</si>
  <si>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</si>
  <si>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</si>
  <si>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</si>
  <si>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</si>
  <si>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</si>
  <si>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</si>
  <si>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</si>
  <si>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</si>
  <si>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</si>
  <si>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</si>
  <si>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</si>
  <si>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</si>
  <si>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</si>
  <si>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</si>
  <si>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</si>
  <si>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</si>
  <si>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</si>
  <si>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</si>
  <si>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</si>
  <si>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</si>
  <si>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</si>
  <si>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</si>
  <si>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</si>
  <si>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</si>
  <si>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</si>
  <si>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</si>
  <si>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</si>
  <si>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</si>
  <si>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</si>
  <si>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</si>
  <si>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</si>
  <si>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</si>
  <si>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</si>
  <si>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</si>
  <si>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</si>
  <si>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</si>
  <si>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</si>
  <si>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</si>
  <si>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</si>
  <si>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</si>
  <si>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</si>
  <si>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</si>
  <si>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</si>
  <si>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</si>
  <si>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</si>
  <si>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</si>
  <si>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</si>
  <si>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</si>
  <si>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</si>
  <si>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</si>
  <si>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</si>
  <si>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</si>
  <si>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</si>
  <si>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</si>
  <si>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</si>
  <si>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</si>
  <si>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</si>
  <si>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</si>
  <si>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</si>
  <si>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</si>
  <si>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</si>
  <si>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</si>
  <si>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</si>
  <si>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</si>
  <si>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</si>
  <si>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</si>
  <si>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</si>
  <si>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</si>
  <si>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</si>
  <si>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</si>
  <si>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</si>
  <si>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</si>
  <si>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</si>
  <si>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</si>
  <si>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</si>
  <si>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</si>
  <si>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</si>
  <si>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</si>
  <si>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</si>
  <si>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</si>
  <si>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</si>
  <si>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</si>
  <si>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</si>
  <si>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</si>
  <si>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</si>
  <si>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</si>
  <si>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</si>
  <si>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</si>
  <si>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</si>
  <si>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</si>
  <si>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</si>
  <si>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</si>
  <si>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</si>
  <si>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</si>
  <si>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</si>
  <si>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</si>
  <si>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</si>
  <si>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</si>
  <si>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</si>
  <si>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</si>
  <si>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</si>
  <si>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</si>
  <si>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</si>
  <si>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</si>
  <si>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</si>
  <si>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</si>
  <si>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</si>
  <si>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</si>
  <si>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</si>
  <si>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</si>
  <si>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</si>
  <si>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</si>
  <si>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</si>
  <si>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</si>
  <si>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</si>
  <si>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</si>
  <si>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</si>
  <si>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</si>
  <si>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</si>
  <si>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</si>
  <si>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</si>
  <si>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</si>
  <si>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</si>
  <si>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</si>
  <si>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</si>
  <si>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</si>
  <si>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</si>
  <si>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</si>
  <si>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</si>
  <si>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</si>
  <si>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</si>
  <si>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</si>
  <si>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</si>
  <si>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</si>
  <si>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</si>
  <si>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</si>
  <si>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</si>
  <si>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</si>
  <si>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</si>
  <si>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</si>
  <si>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</si>
  <si>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</si>
  <si>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</si>
  <si>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</si>
  <si>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</si>
  <si>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</si>
  <si>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</si>
  <si>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</si>
  <si>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</si>
  <si>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</si>
  <si>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</si>
  <si>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</si>
  <si>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</si>
  <si>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</si>
  <si>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</si>
  <si>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</si>
  <si>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</si>
  <si>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</si>
  <si>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</si>
  <si>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</si>
  <si>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</si>
  <si>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</si>
  <si>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</si>
  <si>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</si>
  <si>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</si>
  <si>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</si>
  <si>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</si>
  <si>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</si>
  <si>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</si>
  <si>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</si>
  <si>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</si>
  <si>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</si>
  <si>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</si>
  <si>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</si>
  <si>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</si>
  <si>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</si>
  <si>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</si>
  <si>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</si>
  <si>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</si>
  <si>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</si>
  <si>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</si>
  <si>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</si>
  <si>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</si>
  <si>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</si>
  <si>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</si>
  <si>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</si>
  <si>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</si>
  <si>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</si>
  <si>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</si>
  <si>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</si>
  <si>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</si>
  <si>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</si>
  <si>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</si>
  <si>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</si>
  <si>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</si>
  <si>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</si>
  <si>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</si>
  <si>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</si>
  <si>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</si>
  <si>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</si>
  <si>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</si>
  <si>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</si>
  <si>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</si>
  <si>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</si>
  <si>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</si>
  <si>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</si>
  <si>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</si>
  <si>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</si>
  <si>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</si>
  <si>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</si>
  <si>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</si>
  <si>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</si>
  <si>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</si>
  <si>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</si>
  <si>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</si>
  <si>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</si>
  <si>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</si>
  <si>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</si>
  <si>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</si>
  <si>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</si>
  <si>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</si>
  <si>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</si>
  <si>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</si>
  <si>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</si>
  <si>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</si>
  <si>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</si>
  <si>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</si>
  <si>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</si>
  <si>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</si>
  <si>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</si>
  <si>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</si>
  <si>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</si>
  <si>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</si>
  <si>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</si>
  <si>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</si>
  <si>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</si>
  <si>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</si>
  <si>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</si>
  <si>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</si>
  <si>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</si>
  <si>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</si>
  <si>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</si>
  <si>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</si>
  <si>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</si>
  <si>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</si>
  <si>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</si>
  <si>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</si>
  <si>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</si>
  <si>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</si>
  <si>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</si>
  <si>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</si>
  <si>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</si>
  <si>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</si>
  <si>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</si>
  <si>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</si>
  <si>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</si>
  <si>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</si>
  <si>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</si>
  <si>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</si>
  <si>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</si>
  <si>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</si>
  <si>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</si>
  <si>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</si>
  <si>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</si>
  <si>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</si>
  <si>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</si>
  <si>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</si>
  <si>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</si>
  <si>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</si>
  <si>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</si>
  <si>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</si>
  <si>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</si>
  <si>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</si>
  <si>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</si>
  <si>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</si>
  <si>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</si>
  <si>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</si>
  <si>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</si>
  <si>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</si>
  <si>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</si>
  <si>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</si>
  <si>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</si>
  <si>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</si>
  <si>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</si>
  <si>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</si>
  <si>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</si>
  <si>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</si>
  <si>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</si>
  <si>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</si>
  <si>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</si>
  <si>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</si>
  <si>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</si>
  <si>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</si>
  <si>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</si>
  <si>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</si>
  <si>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</si>
  <si>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</si>
  <si>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</si>
  <si>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</si>
  <si>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</si>
  <si>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</si>
  <si>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</si>
  <si>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</si>
  <si>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</si>
  <si>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</si>
  <si>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</si>
  <si>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</si>
  <si>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</si>
  <si>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</si>
  <si>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</si>
  <si>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</si>
  <si>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</si>
  <si>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</si>
  <si>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</si>
  <si>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</si>
  <si>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</si>
  <si>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</si>
  <si>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</si>
  <si>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</si>
  <si>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</si>
  <si>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</si>
  <si>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</si>
  <si>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</si>
  <si>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</si>
  <si>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</si>
  <si>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</si>
  <si>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</si>
  <si>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</si>
  <si>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</si>
  <si>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</si>
  <si>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issued</t>
  </si>
  <si>
    <t>607095-004-0418339</t>
  </si>
  <si>
    <t>607095-004-0418340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</si>
</sst>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9" dataDxfId="88">
  <autoFilter ref="A1:R388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02" totalsRowShown="0" headerRowDxfId="44" dataDxfId="43">
  <autoFilter ref="A2:H202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2"/>
    <tableColumn id="11" xr3:uid="{7AA66E15-5D81-45A6-A480-BC2F7EFDEB4C}" name="Name" dataDxfId="41"/>
    <tableColumn id="10" xr3:uid="{DA1D923C-25B3-4F76-823C-435E6464FF55}" name="Contact" dataDxfId="40"/>
    <tableColumn id="2" xr3:uid="{5FEBD558-5EB7-4421-BA25-DCAC1134B168}" name="Barcode No." dataDxfId="39"/>
    <tableColumn id="12" xr3:uid="{77758C8B-F2C8-47C0-B104-570729F9693B}" name="Reg Num" dataDxfId="38"/>
    <tableColumn id="5" xr3:uid="{9AC97A3F-3009-4A59-ACCF-A178780E6F61}" name="Date" dataDxfId="37"/>
    <tableColumn id="7" xr3:uid="{82C8F4C5-8489-4228-83CC-0B9666328CDD}" name="CHANNEL" dataDxfId="36"/>
    <tableColumn id="8" xr3:uid="{DDF1FC61-A0D6-46E9-9515-6DDC5AB1E932}" name="Statu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3"/>
    <tableColumn id="2" xr3:uid="{1E57C5CE-907A-4DF0-BCA2-BBCD2651216C}" name="APPLICATION NO." dataDxfId="32"/>
    <tableColumn id="3" xr3:uid="{F626713A-3C61-423D-BD37-451203C3E29C}" name="CHASSIS" dataDxfId="31"/>
    <tableColumn id="4" xr3:uid="{32C5A048-ADD8-4648-8106-9F20D6757D66}" name="NAME" dataDxfId="30"/>
    <tableColumn id="5" xr3:uid="{BA1FDE8E-99ED-4918-A545-B2E041B306D6}" name="MODEL" dataDxfId="29"/>
    <tableColumn id="6" xr3:uid="{872ECA2D-515D-4EDE-B60A-82A8BDEFEDCC}" name="COLOR" dataDxfId="28"/>
    <tableColumn id="7" xr3:uid="{C729A2AA-8F61-4959-9BE7-9F1BD3A49990}" name="RTO" dataDxfId="27"/>
    <tableColumn id="8" xr3:uid="{49CDED17-8118-4E4F-BBF5-6407D0788647}" name="REG NUM" dataDxfId="26"/>
    <tableColumn id="9" xr3:uid="{6E044422-F791-464A-944A-0668F0C8112F}" name="DATE OF REG" dataDxfId="25"/>
    <tableColumn id="11" xr3:uid="{942D52E6-8B19-4B1A-ADDF-6D959D8E7BE1}" name="DSE" dataDxfId="24"/>
    <tableColumn id="12" xr3:uid="{04B58679-3282-4D6D-BF3E-2233E3C4DC81}" name="RC RECEIVED BY" dataDxfId="2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2" tableBorderDxfId="21" totalsRowBorderDxfId="20">
  <autoFilter ref="B27:E32" xr:uid="{859DCBAE-920B-4469-9E0B-BF5ADC0248E9}"/>
  <tableColumns count="4">
    <tableColumn id="1" xr3:uid="{898528DA-B3AC-435C-B00C-9234887E5F11}" name="REG NUM" dataDxfId="19"/>
    <tableColumn id="2" xr3:uid="{89440296-A536-440E-A74B-186B5A98AE6C}" name="DATE OF REG" dataDxfId="18"/>
    <tableColumn id="3" xr3:uid="{7A04E3EB-93DA-4428-AB0C-3D251E144655}" name="RC RECEIVED BY" dataDxfId="17"/>
    <tableColumn id="4" xr3:uid="{0D350352-EB5F-413B-8CE6-3B46D80C3172}" name="DA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opLeftCell="D369" zoomScaleNormal="100" workbookViewId="0">
      <selection activeCell="K379" sqref="K37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8243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8239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8248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8239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8280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8252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8227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8239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8254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8239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8239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8255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8256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8257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8259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8260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8252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8261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8262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8244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7715</v>
      </c>
      <c r="N301" s="48">
        <v>46042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8241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 t="s">
        <v>8342</v>
      </c>
      <c r="N328" s="48">
        <v>46042</v>
      </c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8236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8263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8260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8261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5"/>
        <v>375</v>
      </c>
      <c r="B376" s="47" t="s">
        <v>8286</v>
      </c>
      <c r="C376" s="47" t="s">
        <v>8283</v>
      </c>
      <c r="D376" s="47" t="s">
        <v>8284</v>
      </c>
      <c r="E376" s="47" t="s">
        <v>6338</v>
      </c>
      <c r="F376" s="47" t="s">
        <v>8285</v>
      </c>
      <c r="G376" s="47" t="s">
        <v>174</v>
      </c>
      <c r="H376" s="47" t="str">
        <f t="shared" si="12"/>
        <v>NEW</v>
      </c>
      <c r="I376" s="47"/>
      <c r="J376" s="48"/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8287</v>
      </c>
      <c r="C377" s="47" t="s">
        <v>8288</v>
      </c>
      <c r="D377" s="47" t="s">
        <v>8290</v>
      </c>
      <c r="E377" s="47" t="s">
        <v>8289</v>
      </c>
      <c r="F377" s="47" t="s">
        <v>8291</v>
      </c>
      <c r="G377" s="47" t="s">
        <v>200</v>
      </c>
      <c r="H377" s="47" t="str">
        <f t="shared" si="12"/>
        <v>SHOPIAN</v>
      </c>
      <c r="I377" s="47" t="s">
        <v>8292</v>
      </c>
      <c r="J377" s="48">
        <v>46038</v>
      </c>
      <c r="K377" s="47">
        <v>7006595403</v>
      </c>
      <c r="L377" s="47" t="s">
        <v>6570</v>
      </c>
      <c r="M377" s="49" t="s">
        <v>8334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8293</v>
      </c>
      <c r="C378" s="47" t="s">
        <v>8295</v>
      </c>
      <c r="D378" s="47" t="s">
        <v>8296</v>
      </c>
      <c r="E378" s="47" t="s">
        <v>8294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8297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8300</v>
      </c>
      <c r="C379" s="47" t="s">
        <v>8298</v>
      </c>
      <c r="D379" s="47" t="s">
        <v>8307</v>
      </c>
      <c r="E379" s="47" t="s">
        <v>8299</v>
      </c>
      <c r="F379" s="47" t="s">
        <v>31</v>
      </c>
      <c r="G379" s="47" t="s">
        <v>175</v>
      </c>
      <c r="H379" s="47" t="str">
        <f t="shared" si="12"/>
        <v>SRINAGAR</v>
      </c>
      <c r="I379" s="47" t="s">
        <v>8326</v>
      </c>
      <c r="J379" s="48">
        <v>46042</v>
      </c>
      <c r="K379" s="47">
        <v>7022282286</v>
      </c>
      <c r="L379" s="47" t="s">
        <v>2172</v>
      </c>
      <c r="M379" s="49"/>
      <c r="N379" s="48"/>
      <c r="O379" s="47" t="s">
        <v>23</v>
      </c>
      <c r="P379" s="50">
        <v>46042</v>
      </c>
      <c r="Q379" s="47" t="s">
        <v>8343</v>
      </c>
      <c r="R379" s="47"/>
    </row>
    <row r="380" spans="1:18" x14ac:dyDescent="0.25">
      <c r="A380" s="47">
        <f t="shared" si="15"/>
        <v>379</v>
      </c>
      <c r="B380" s="47" t="s">
        <v>8306</v>
      </c>
      <c r="C380" s="47" t="s">
        <v>8303</v>
      </c>
      <c r="D380" s="47" t="s">
        <v>8304</v>
      </c>
      <c r="E380" s="47" t="s">
        <v>8305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8313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8310</v>
      </c>
      <c r="C381" s="47" t="s">
        <v>8308</v>
      </c>
      <c r="D381" s="47" t="s">
        <v>8309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8311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8314</v>
      </c>
      <c r="C382" s="47" t="s">
        <v>8315</v>
      </c>
      <c r="D382" s="47" t="s">
        <v>8316</v>
      </c>
      <c r="E382" s="47" t="s">
        <v>8317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8322</v>
      </c>
      <c r="J382" s="48">
        <v>46041</v>
      </c>
      <c r="K382" s="47">
        <v>9906774785</v>
      </c>
      <c r="L382" s="47" t="s">
        <v>484</v>
      </c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 t="s">
        <v>8318</v>
      </c>
      <c r="C383" s="47" t="s">
        <v>8319</v>
      </c>
      <c r="D383" s="47" t="s">
        <v>8320</v>
      </c>
      <c r="E383" s="47" t="s">
        <v>8321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8323</v>
      </c>
      <c r="J383" s="48">
        <v>46041</v>
      </c>
      <c r="K383" s="47">
        <v>9797865646</v>
      </c>
      <c r="L383" s="47" t="s">
        <v>26</v>
      </c>
      <c r="M383" s="49"/>
      <c r="N383" s="48"/>
      <c r="O383" s="47" t="s">
        <v>23</v>
      </c>
      <c r="P383" s="50">
        <v>46042</v>
      </c>
      <c r="Q383" s="47" t="s">
        <v>6460</v>
      </c>
      <c r="R383" s="47"/>
    </row>
    <row r="384" spans="1:18" x14ac:dyDescent="0.25">
      <c r="A384" s="47">
        <f t="shared" si="15"/>
        <v>383</v>
      </c>
      <c r="B384" s="47" t="s">
        <v>8329</v>
      </c>
      <c r="C384" s="47" t="s">
        <v>8327</v>
      </c>
      <c r="D384" s="47" t="s">
        <v>8328</v>
      </c>
      <c r="E384" s="47" t="s">
        <v>3155</v>
      </c>
      <c r="F384" s="47" t="s">
        <v>12</v>
      </c>
      <c r="G384" s="47" t="s">
        <v>181</v>
      </c>
      <c r="H384" s="47" t="str">
        <f t="shared" si="12"/>
        <v>BUDGAM</v>
      </c>
      <c r="I384" s="47" t="s">
        <v>8339</v>
      </c>
      <c r="J384" s="48">
        <v>46042</v>
      </c>
      <c r="K384" s="47">
        <v>9906655656</v>
      </c>
      <c r="L384" s="47" t="s">
        <v>484</v>
      </c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 t="s">
        <v>8333</v>
      </c>
      <c r="C385" s="47" t="s">
        <v>8330</v>
      </c>
      <c r="D385" s="47" t="s">
        <v>8331</v>
      </c>
      <c r="E385" s="47" t="s">
        <v>8332</v>
      </c>
      <c r="F385" s="47" t="s">
        <v>67</v>
      </c>
      <c r="G385" s="47" t="s">
        <v>199</v>
      </c>
      <c r="H385" s="47" t="str">
        <f t="shared" si="12"/>
        <v>ANANTNAG</v>
      </c>
      <c r="I385" s="47" t="s">
        <v>8340</v>
      </c>
      <c r="J385" s="48">
        <v>46042</v>
      </c>
      <c r="K385" s="47">
        <v>8899068335</v>
      </c>
      <c r="L385" s="47" t="s">
        <v>6521</v>
      </c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 t="s">
        <v>8338</v>
      </c>
      <c r="C386" s="47" t="s">
        <v>8335</v>
      </c>
      <c r="D386" s="47" t="s">
        <v>8336</v>
      </c>
      <c r="E386" s="47" t="s">
        <v>8337</v>
      </c>
      <c r="F386" s="47" t="s">
        <v>119</v>
      </c>
      <c r="G386" s="47" t="s">
        <v>175</v>
      </c>
      <c r="H386" s="47" t="str">
        <f t="shared" si="12"/>
        <v>SHOPIAN</v>
      </c>
      <c r="I386" s="47" t="s">
        <v>8341</v>
      </c>
      <c r="J386" s="48">
        <v>46042</v>
      </c>
      <c r="K386" s="47">
        <v>7006739253</v>
      </c>
      <c r="L386" s="47" t="s">
        <v>6570</v>
      </c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87 A298:A300 K298:R300 K299:K325 A301:B301 L301:R325 A302:A387 I308:I317 J313:J314 I315:J328 I325:I332 K326:R375 J329:J333 I331:J332 I334:J360 I357:I368 J361:J368 I369:J375 K373:K378 I376:R376 I377:J377 L377:R377 I378:R388 A388:G388 B389:G389 I389 K389:K478">
    <cfRule type="expression" dxfId="15" priority="7">
      <formula>CELL("row")=ROW()</formula>
    </cfRule>
  </conditionalFormatting>
  <conditionalFormatting sqref="B257:G290 B291:B300 C291:G301">
    <cfRule type="expression" dxfId="14" priority="5">
      <formula>CELL("row")=ROW()</formula>
    </cfRule>
  </conditionalFormatting>
  <conditionalFormatting sqref="F326:G326">
    <cfRule type="expression" dxfId="13" priority="2">
      <formula>CELL("row")=ROW()</formula>
    </cfRule>
  </conditionalFormatting>
  <conditionalFormatting sqref="G266">
    <cfRule type="expression" dxfId="12" priority="4">
      <formula>CELL("row")=ROW()</formula>
    </cfRule>
  </conditionalFormatting>
  <conditionalFormatting sqref="K390:O400 L389:O389">
    <cfRule type="expression" dxfId="11" priority="16">
      <formula>ROW(M93)=HighlightRow</formula>
    </cfRule>
  </conditionalFormatting>
  <conditionalFormatting sqref="P389:Q400">
    <cfRule type="expression" dxfId="10" priority="20">
      <formula>ROW(S93)=HighlightRow</formula>
    </cfRule>
  </conditionalFormatting>
  <conditionalFormatting sqref="S105:XFD105">
    <cfRule type="expression" dxfId="9" priority="21">
      <formula>ROW(T94)=HighlightRow</formula>
    </cfRule>
  </conditionalFormatting>
  <conditionalFormatting sqref="S106:XFD114">
    <cfRule type="expression" dxfId="8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44" zoomScaleNormal="100" workbookViewId="0">
      <selection activeCell="E773" sqref="E7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8282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07"/>
  <sheetViews>
    <sheetView tabSelected="1" topLeftCell="A178" zoomScale="85" zoomScaleNormal="85" workbookViewId="0">
      <selection activeCell="E199" sqref="E19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8268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02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8264</v>
      </c>
      <c r="C174" s="19">
        <v>9797723564</v>
      </c>
      <c r="D174" s="19" t="s">
        <v>8265</v>
      </c>
      <c r="E174" s="19" t="s">
        <v>8266</v>
      </c>
      <c r="F174" s="21">
        <v>46034</v>
      </c>
      <c r="G174" s="21" t="s">
        <v>8267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8273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8274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8275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8276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8277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8278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8279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8269</v>
      </c>
      <c r="C182" s="19">
        <v>9596935377</v>
      </c>
      <c r="D182" s="19" t="s">
        <v>8270</v>
      </c>
      <c r="E182" s="19" t="s">
        <v>8271</v>
      </c>
      <c r="F182" s="21">
        <v>46035</v>
      </c>
      <c r="G182" s="21" t="s">
        <v>8272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8281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8301</v>
      </c>
      <c r="C191" s="19">
        <v>9622544857</v>
      </c>
      <c r="D191" s="19" t="s">
        <v>8302</v>
      </c>
      <c r="E191" s="19" t="s">
        <v>8297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8312</v>
      </c>
      <c r="E192" s="19" t="s">
        <v>8311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8325</v>
      </c>
      <c r="C193" s="19">
        <v>9797811436</v>
      </c>
      <c r="D193" s="19" t="s">
        <v>8324</v>
      </c>
      <c r="E193" s="19" t="s">
        <v>8313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8321</v>
      </c>
      <c r="C194" s="19">
        <v>9797865646</v>
      </c>
      <c r="D194" s="19" t="s">
        <v>8344</v>
      </c>
      <c r="E194" s="19" t="s">
        <v>8323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47" t="s">
        <v>8299</v>
      </c>
      <c r="C195" s="47">
        <v>7022282286</v>
      </c>
      <c r="D195" s="19" t="s">
        <v>8345</v>
      </c>
      <c r="E195" s="19" t="s">
        <v>8326</v>
      </c>
      <c r="F195" s="21">
        <v>46042</v>
      </c>
      <c r="G195" s="21" t="s">
        <v>341</v>
      </c>
      <c r="H195" s="19" t="s">
        <v>8167</v>
      </c>
    </row>
    <row r="196" spans="1:8" ht="15.75" x14ac:dyDescent="0.25">
      <c r="A196" s="19">
        <f t="shared" si="5"/>
        <v>194</v>
      </c>
      <c r="B196" s="19"/>
      <c r="C196" s="19"/>
      <c r="D196" s="19"/>
      <c r="E196" s="19"/>
      <c r="F196" s="21"/>
      <c r="G196" s="21"/>
      <c r="H196" s="19"/>
    </row>
    <row r="197" spans="1:8" ht="15.75" x14ac:dyDescent="0.25">
      <c r="A197" s="19">
        <f t="shared" si="5"/>
        <v>195</v>
      </c>
      <c r="B197" s="19"/>
      <c r="C197" s="19"/>
      <c r="D197" s="19"/>
      <c r="E197" s="19"/>
      <c r="F197" s="21"/>
      <c r="G197" s="21"/>
      <c r="H197" s="19"/>
    </row>
    <row r="198" spans="1:8" ht="15.75" x14ac:dyDescent="0.25">
      <c r="A198" s="19">
        <f t="shared" si="5"/>
        <v>196</v>
      </c>
      <c r="B198" s="19"/>
      <c r="C198" s="19"/>
      <c r="D198" s="19"/>
      <c r="E198" s="19"/>
      <c r="F198" s="21"/>
      <c r="G198" s="21"/>
      <c r="H198" s="19"/>
    </row>
    <row r="199" spans="1:8" ht="15.75" x14ac:dyDescent="0.25">
      <c r="A199" s="19">
        <f t="shared" si="5"/>
        <v>197</v>
      </c>
      <c r="B199" s="19"/>
      <c r="C199" s="19"/>
      <c r="D199" s="19"/>
      <c r="E199" s="19"/>
      <c r="F199" s="21"/>
      <c r="G199" s="21"/>
      <c r="H199" s="19"/>
    </row>
    <row r="200" spans="1:8" ht="15.75" x14ac:dyDescent="0.25">
      <c r="A200" s="19">
        <f t="shared" si="5"/>
        <v>198</v>
      </c>
      <c r="B200" s="19"/>
      <c r="C200" s="19"/>
      <c r="D200" s="19"/>
      <c r="E200" s="19"/>
      <c r="F200" s="21"/>
      <c r="G200" s="21"/>
      <c r="H200" s="19"/>
    </row>
    <row r="201" spans="1:8" ht="15.75" x14ac:dyDescent="0.25">
      <c r="A201" s="19">
        <f t="shared" si="5"/>
        <v>199</v>
      </c>
      <c r="B201" s="19"/>
      <c r="C201" s="19"/>
      <c r="D201" s="19"/>
      <c r="E201" s="19"/>
      <c r="F201" s="21"/>
      <c r="G201" s="21"/>
      <c r="H201" s="19"/>
    </row>
    <row r="202" spans="1:8" ht="15.75" x14ac:dyDescent="0.25">
      <c r="A202" s="19">
        <f t="shared" si="5"/>
        <v>200</v>
      </c>
      <c r="B202" s="19"/>
      <c r="C202" s="19"/>
      <c r="D202" s="19"/>
      <c r="E202" s="19"/>
      <c r="F202" s="21"/>
      <c r="G202" s="21"/>
      <c r="H202" s="19"/>
    </row>
    <row r="203" spans="1:8" ht="15.75" x14ac:dyDescent="0.25">
      <c r="B203" s="19"/>
      <c r="C203" s="19"/>
      <c r="D203" s="19"/>
      <c r="E203" s="19"/>
    </row>
    <row r="204" spans="1:8" ht="15.75" x14ac:dyDescent="0.25">
      <c r="B204" s="19"/>
      <c r="C204" s="19"/>
      <c r="D204" s="19"/>
    </row>
    <row r="205" spans="1:8" ht="15.75" x14ac:dyDescent="0.25">
      <c r="B205" s="19"/>
      <c r="C205" s="19"/>
      <c r="D205" s="19"/>
    </row>
    <row r="206" spans="1:8" ht="15.75" x14ac:dyDescent="0.25">
      <c r="B206" s="19"/>
      <c r="C206" s="19"/>
      <c r="D206" s="19"/>
    </row>
    <row r="207" spans="1:8" ht="15.75" x14ac:dyDescent="0.25">
      <c r="B207" s="19"/>
      <c r="C207" s="19"/>
      <c r="D207" s="19"/>
    </row>
  </sheetData>
  <mergeCells count="1">
    <mergeCell ref="A1:H1"/>
  </mergeCells>
  <phoneticPr fontId="31" type="noConversion"/>
  <conditionalFormatting sqref="B103 E103 B121:E154 B203:D207 B169:E194 B196:E203 D195:E195">
    <cfRule type="expression" dxfId="7" priority="15">
      <formula>CELL("row")=ROW()</formula>
    </cfRule>
  </conditionalFormatting>
  <conditionalFormatting sqref="C103">
    <cfRule type="expression" dxfId="6" priority="14">
      <formula>CELL("row")=ROW()</formula>
    </cfRule>
  </conditionalFormatting>
  <conditionalFormatting sqref="C122">
    <cfRule type="expression" dxfId="5" priority="11">
      <formula>CELL("row")=ROW()</formula>
    </cfRule>
  </conditionalFormatting>
  <conditionalFormatting sqref="C175">
    <cfRule type="expression" dxfId="4" priority="4">
      <formula>CELL("row")=ROW()</formula>
    </cfRule>
  </conditionalFormatting>
  <conditionalFormatting sqref="C177">
    <cfRule type="expression" dxfId="3" priority="3">
      <formula>CELL("row")=ROW()</formula>
    </cfRule>
  </conditionalFormatting>
  <conditionalFormatting sqref="E122">
    <cfRule type="expression" dxfId="2" priority="12">
      <formula>CELL("row")=ROW()</formula>
    </cfRule>
  </conditionalFormatting>
  <conditionalFormatting sqref="B195">
    <cfRule type="expression" dxfId="1" priority="2">
      <formula>CELL("row")=ROW()</formula>
    </cfRule>
  </conditionalFormatting>
  <conditionalFormatting sqref="C1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2026-01-20T12:01:29Z</dcterms:modified>
</cp:coreProperties>
</file>