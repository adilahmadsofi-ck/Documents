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57C15A3-20CC-4AFE-B08B-6B194598864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69" i="4" l="1"/>
  <c r="H670" i="4"/>
  <c r="H671" i="4"/>
  <c r="H672" i="4"/>
  <c r="A669" i="4"/>
  <c r="A670" i="4"/>
  <c r="A671" i="4"/>
  <c r="A672" i="4"/>
  <c r="H495" i="4"/>
  <c r="H539" i="4"/>
  <c r="H601" i="4"/>
  <c r="H148" i="4"/>
  <c r="H632" i="4"/>
  <c r="H633" i="4"/>
  <c r="H596" i="4"/>
  <c r="H591" i="4"/>
  <c r="H602" i="4"/>
  <c r="H647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8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04" i="4"/>
  <c r="H480" i="4"/>
  <c r="H511" i="4"/>
  <c r="H605" i="4"/>
  <c r="H606" i="4"/>
  <c r="H607" i="4"/>
  <c r="H608" i="4"/>
  <c r="H188" i="4"/>
  <c r="H107" i="4"/>
  <c r="H609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4" i="4"/>
  <c r="H635" i="4"/>
  <c r="H636" i="4"/>
  <c r="H637" i="4"/>
  <c r="H639" i="4"/>
  <c r="H640" i="4"/>
  <c r="H641" i="4"/>
  <c r="H610" i="4"/>
  <c r="H642" i="4"/>
  <c r="H643" i="4"/>
  <c r="H644" i="4"/>
  <c r="H645" i="4"/>
  <c r="H646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A641" i="4"/>
  <c r="A638" i="4"/>
  <c r="A642" i="4"/>
  <c r="A643" i="4"/>
  <c r="A644" i="4"/>
  <c r="A645" i="4"/>
  <c r="A646" i="4"/>
  <c r="A647" i="4"/>
  <c r="A636" i="4"/>
  <c r="A637" i="4"/>
  <c r="A639" i="4"/>
  <c r="A640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4" i="4"/>
  <c r="A632" i="4"/>
  <c r="A635" i="4"/>
  <c r="A633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2" i="4"/>
  <c r="A610" i="4"/>
  <c r="A609" i="4"/>
  <c r="A601" i="4"/>
  <c r="A605" i="4"/>
  <c r="A606" i="4"/>
  <c r="A607" i="4"/>
  <c r="A608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4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<sst xmlns="http://schemas.openxmlformats.org/spreadsheetml/2006/main" count="25265" uniqueCount="10103">
  <si>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</si>
  <si>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</si>
  <si>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</si>
  <si>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</si>
  <si>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</si>
  <si>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</si>
  <si>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</si>
  <si>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</si>
  <si>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</si>
  <si>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</si>
  <si>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</si>
  <si>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</si>
  <si>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</si>
  <si>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</si>
  <si>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</si>
  <si>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</si>
  <si>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</si>
  <si>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</si>
  <si>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</si>
  <si>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</si>
  <si>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</si>
  <si>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</si>
  <si>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</si>
  <si>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</si>
  <si>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</si>
  <si>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</si>
  <si>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</si>
  <si>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</si>
  <si>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</si>
  <si>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</si>
  <si>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</si>
  <si>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</si>
  <si>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</si>
  <si>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</si>
  <si>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</si>
  <si>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</si>
  <si>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</si>
  <si>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</si>
  <si>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</si>
  <si>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</si>
  <si>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</si>
  <si>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</si>
  <si>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</si>
  <si>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</si>
  <si>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</si>
  <si>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</si>
  <si>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</si>
  <si>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</si>
  <si>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</si>
  <si>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</si>
  <si>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</si>
  <si>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</si>
  <si>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</si>
  <si>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</si>
  <si>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</si>
  <si>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</si>
  <si>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</si>
  <si>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</si>
  <si>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</si>
  <si>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</si>
  <si>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</si>
  <si>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</si>
  <si>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</si>
  <si>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</si>
  <si>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</si>
  <si>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</si>
  <si>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</si>
  <si>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</si>
  <si>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</si>
  <si>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</si>
  <si>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</si>
  <si>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</si>
  <si>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</si>
  <si>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</si>
  <si>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</si>
  <si>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</si>
  <si>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</si>
  <si>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</si>
  <si>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</si>
  <si>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</si>
  <si>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</si>
  <si>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</si>
  <si>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</si>
  <si>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</si>
  <si>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</si>
  <si>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</si>
  <si>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</si>
  <si>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</si>
  <si>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</si>
  <si>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</si>
  <si>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</si>
  <si>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</si>
  <si>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</si>
  <si>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</si>
  <si>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</si>
  <si>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</si>
  <si>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</si>
  <si>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</si>
  <si>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</si>
  <si>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</si>
  <si>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</si>
  <si>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</si>
  <si>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</si>
  <si>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</si>
  <si>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</si>
  <si>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</si>
  <si>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</si>
  <si>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</si>
  <si>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</si>
  <si>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</si>
  <si>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</si>
  <si>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</si>
  <si>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</si>
  <si>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</si>
  <si>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</si>
  <si>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</si>
  <si>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</si>
  <si>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</si>
  <si>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</si>
  <si>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</si>
  <si>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</si>
  <si>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</si>
  <si>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</si>
  <si>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</si>
  <si>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</si>
  <si>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</si>
  <si>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</si>
  <si>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</si>
  <si>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</si>
  <si>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</si>
  <si>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</si>
  <si>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</si>
  <si>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</si>
  <si>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</si>
  <si>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</si>
  <si>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</si>
  <si>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</si>
  <si>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</si>
  <si>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</si>
  <si>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</si>
  <si>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</si>
  <si>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</si>
  <si>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</si>
  <si>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</si>
  <si>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</si>
  <si>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</si>
  <si>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</si>
  <si>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</si>
  <si>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</si>
  <si>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</si>
  <si>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</si>
  <si>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</si>
  <si>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</si>
  <si>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</si>
  <si>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</si>
  <si>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</si>
  <si>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</si>
  <si>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</si>
  <si>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</si>
  <si>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</si>
  <si>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</si>
  <si>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</si>
  <si>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</si>
  <si>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</si>
  <si>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</si>
  <si>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</si>
  <si>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</si>
  <si>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</si>
  <si>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</si>
  <si>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</si>
  <si>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</si>
  <si>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</si>
  <si>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</si>
  <si>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</si>
  <si>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</si>
  <si>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</si>
  <si>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</si>
  <si>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</si>
  <si>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</si>
  <si>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</si>
  <si>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</si>
  <si>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</si>
  <si>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</si>
  <si>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</si>
  <si>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</si>
  <si>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</si>
  <si>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</si>
  <si>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</si>
  <si>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</si>
  <si>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</si>
  <si>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</si>
  <si>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</si>
  <si>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</si>
  <si>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</si>
  <si>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</si>
  <si>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</si>
  <si>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</si>
  <si>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</si>
  <si>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</si>
  <si>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</si>
  <si>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</si>
  <si>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</si>
  <si>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</si>
  <si>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</si>
  <si>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</si>
  <si>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</si>
  <si>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</si>
  <si>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</si>
  <si>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</si>
  <si>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</si>
  <si>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</si>
  <si>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</si>
  <si>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</si>
  <si>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</si>
  <si>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</si>
  <si>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</si>
  <si>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</si>
  <si>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</si>
  <si>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</si>
  <si>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</si>
  <si>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</si>
  <si>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</si>
  <si>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</si>
  <si>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</si>
  <si>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</si>
  <si>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</si>
  <si>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</si>
  <si>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</si>
  <si>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</si>
  <si>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</si>
  <si>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</si>
  <si>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</si>
  <si>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</si>
  <si>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</si>
  <si>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</si>
  <si>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</si>
  <si>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</si>
  <si>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</si>
  <si>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</si>
  <si>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</si>
  <si>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</si>
  <si>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</si>
  <si>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</si>
  <si>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</si>
  <si>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</si>
  <si>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</si>
  <si>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</si>
  <si>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</si>
  <si>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</si>
  <si>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</si>
  <si>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</si>
  <si>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</si>
  <si>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</si>
  <si>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</si>
  <si>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</si>
  <si>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</si>
  <si>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</si>
  <si>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</si>
  <si>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</si>
  <si>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</si>
  <si>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</si>
  <si>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</si>
  <si>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</si>
  <si>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</si>
  <si>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</si>
  <si>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</si>
  <si>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</si>
  <si>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</si>
  <si>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</si>
  <si>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</si>
  <si>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</si>
  <si>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</si>
  <si>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</si>
  <si>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</si>
  <si>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</si>
  <si>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</si>
  <si>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</si>
  <si>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</si>
  <si>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</si>
  <si>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</si>
  <si>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</si>
  <si>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</si>
  <si>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</si>
  <si>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</si>
  <si>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</si>
  <si>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</si>
  <si>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</si>
  <si>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</si>
  <si>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</si>
  <si>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</si>
  <si>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</si>
  <si>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</si>
  <si>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</si>
  <si>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</si>
  <si>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</si>
  <si>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</si>
  <si>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</si>
  <si>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</si>
  <si>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</si>
  <si>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</si>
  <si>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</si>
  <si>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</si>
  <si>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</si>
  <si>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</si>
  <si>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</si>
  <si>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</si>
  <si>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</si>
  <si>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</si>
  <si>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</si>
  <si>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</si>
  <si>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</si>
  <si>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</si>
  <si>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</si>
  <si>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</si>
  <si>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</si>
  <si>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</si>
  <si>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</si>
  <si>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</si>
  <si>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</si>
  <si>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</si>
  <si>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</si>
  <si>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</si>
  <si>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</si>
  <si>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</si>
  <si>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</si>
  <si>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</si>
  <si>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</si>
  <si>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</si>
  <si>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</si>
  <si>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</si>
  <si>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</si>
  <si>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</si>
  <si>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</si>
  <si>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</si>
  <si>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</si>
  <si>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</si>
  <si>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</si>
  <si>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</si>
  <si>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</si>
  <si>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</si>
  <si>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</si>
  <si>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</si>
  <si>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</si>
  <si>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</si>
  <si>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</si>
  <si>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</si>
  <si>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</si>
  <si>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</si>
  <si>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</si>
  <si>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</si>
  <si>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</si>
  <si>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</si>
  <si>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</si>
  <si>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</si>
  <si>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</si>
  <si>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</si>
  <si>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</si>
  <si>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</si>
  <si>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</si>
  <si>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</si>
  <si>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</si>
  <si>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</si>
  <si>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</si>
  <si>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</si>
  <si>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</si>
  <si>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</si>
  <si>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</si>
  <si>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</si>
  <si>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</si>
  <si>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</si>
  <si>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</si>
  <si>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</si>
  <si>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</si>
  <si>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</si>
  <si>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</si>
  <si>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</si>
  <si>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</si>
  <si>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</si>
  <si>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</si>
  <si>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</si>
  <si>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</si>
  <si>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</si>
  <si>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</si>
  <si>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</si>
  <si>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</si>
  <si>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</si>
  <si>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</si>
  <si>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</si>
  <si>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</si>
  <si>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</si>
  <si>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</si>
  <si>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</si>
  <si>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</si>
  <si>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</si>
  <si>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</si>
  <si>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</si>
  <si>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</si>
  <si>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</si>
  <si>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</si>
  <si>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</si>
  <si>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</si>
  <si>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</si>
  <si>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</si>
  <si>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</si>
  <si>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</si>
  <si>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</si>
  <si>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</si>
  <si>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</si>
  <si>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</si>
  <si>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</si>
  <si>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</si>
  <si>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</si>
  <si>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</si>
  <si>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</si>
  <si>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</si>
  <si>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</si>
  <si>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</si>
  <si>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</si>
  <si>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</si>
  <si>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</si>
  <si>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</si>
  <si>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</si>
  <si>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</si>
  <si>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</si>
  <si>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</si>
  <si>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</si>
  <si>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</si>
  <si>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</si>
  <si>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</si>
  <si>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</si>
  <si>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</si>
  <si>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</si>
  <si>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</si>
  <si>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</si>
  <si>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</si>
  <si>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</si>
  <si>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</si>
  <si>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</si>
  <si>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</si>
  <si>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</si>
  <si>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</si>
  <si>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</si>
  <si>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</si>
  <si>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</si>
  <si>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</si>
  <si>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</si>
  <si>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</si>
  <si>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</si>
  <si>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</si>
  <si>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</si>
  <si>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</si>
  <si>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</si>
  <si>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</si>
  <si>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</si>
  <si>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</si>
  <si>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</si>
  <si>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</si>
  <si>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</si>
  <si>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</si>
  <si>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</si>
  <si>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</si>
  <si>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</si>
  <si>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</si>
  <si>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</si>
  <si>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</si>
  <si>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</si>
  <si>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</si>
  <si>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</si>
  <si>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</si>
  <si>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</si>
  <si>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</si>
  <si>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</si>
  <si>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</si>
  <si>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</si>
  <si>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</si>
  <si>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</si>
  <si>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</si>
  <si>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</si>
  <si>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</si>
  <si>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</si>
  <si>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</si>
  <si>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</si>
  <si>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</si>
  <si>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</si>
  <si>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</si>
  <si>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</si>
  <si>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</si>
  <si>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</si>
  <si>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</si>
  <si>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</si>
  <si>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</si>
  <si>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</si>
  <si>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</si>
  <si>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</si>
  <si>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</si>
  <si>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</si>
  <si>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</si>
  <si>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</si>
  <si>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</si>
  <si>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</si>
  <si>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</si>
  <si>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</si>
  <si>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</si>
  <si>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</si>
  <si>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</si>
  <si>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</si>
  <si>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</si>
  <si>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</si>
  <si>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</si>
  <si>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</si>
  <si>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</si>
  <si>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</si>
  <si>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</si>
  <si>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</si>
  <si>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</si>
  <si>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</si>
  <si>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</si>
  <si>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</si>
  <si>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</si>
  <si>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</si>
  <si>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</si>
  <si>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</si>
  <si>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</si>
  <si>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</si>
  <si>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</si>
  <si>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</si>
  <si>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</si>
  <si>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</si>
  <si>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</si>
  <si>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</si>
  <si>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</si>
  <si>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</si>
  <si>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</si>
  <si>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</si>
  <si>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</si>
  <si>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</si>
  <si>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</si>
  <si>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</si>
  <si>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</si>
  <si>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</si>
  <si>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</si>
  <si>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</si>
  <si>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</si>
  <si>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</si>
  <si>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</si>
  <si>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</si>
  <si>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</si>
  <si>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</si>
  <si>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</si>
  <si>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</si>
  <si>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</si>
  <si>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</si>
  <si>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</si>
  <si>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</si>
  <si>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</si>
  <si>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</si>
  <si>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</si>
  <si>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</si>
  <si>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</si>
  <si>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</si>
  <si>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</si>
  <si>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</si>
  <si>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</si>
  <si>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</si>
  <si>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</si>
  <si>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</si>
  <si>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</si>
  <si>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</si>
  <si>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</si>
  <si>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</si>
  <si>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</si>
  <si>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</si>
  <si>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</si>
  <si>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</si>
  <si>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</si>
  <si>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</si>
  <si>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</si>
  <si>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</si>
  <si>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</si>
  <si>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</si>
  <si>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</si>
  <si>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</si>
  <si>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</si>
  <si>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</si>
  <si>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</si>
  <si>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</si>
  <si>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</si>
  <si>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</si>
  <si>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</si>
  <si>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</si>
  <si>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</si>
  <si>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</si>
  <si>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</si>
  <si>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</si>
  <si>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</si>
  <si>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</si>
  <si>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</si>
  <si>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</si>
  <si>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</si>
  <si>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</si>
  <si>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</si>
  <si>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</si>
  <si>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</si>
  <si>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</si>
  <si>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</si>
  <si>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</si>
  <si>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</si>
  <si>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</si>
  <si>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</si>
  <si>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</si>
  <si>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</si>
  <si>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</si>
  <si>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</si>
  <si>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</si>
  <si>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</si>
  <si>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</si>
  <si>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</si>
  <si>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</si>
  <si>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</si>
  <si>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</si>
  <si>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</si>
  <si>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</si>
  <si>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</si>
  <si>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</si>
  <si>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</si>
  <si>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</si>
  <si>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</si>
  <si>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</si>
  <si>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</si>
  <si>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</si>
  <si>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</si>
  <si>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</si>
  <si>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</si>
  <si>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</si>
  <si>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</si>
  <si>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</si>
  <si>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</si>
  <si>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</si>
  <si>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</si>
  <si>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</si>
  <si>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</si>
  <si>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</si>
  <si>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</si>
  <si>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</si>
  <si>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</si>
  <si>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</si>
  <si>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</si>
  <si>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</si>
  <si>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</si>
  <si>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</si>
  <si>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</si>
  <si>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</si>
  <si>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</si>
  <si>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</si>
  <si>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</si>
  <si>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</si>
  <si>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</si>
  <si>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</si>
  <si>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</si>
  <si>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</si>
  <si>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</si>
  <si>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</si>
  <si>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</si>
  <si>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</si>
  <si>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</si>
  <si>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</si>
  <si>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</si>
  <si>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</si>
  <si>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</si>
  <si>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</si>
  <si>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</si>
  <si>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</si>
  <si>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</si>
  <si>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</si>
  <si>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</si>
  <si>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</si>
  <si>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</si>
  <si>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</si>
  <si>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</si>
  <si>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</si>
  <si>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</si>
  <si>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</si>
  <si>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</si>
  <si>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</si>
  <si>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</si>
  <si>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</si>
  <si>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</si>
  <si>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</si>
  <si>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</si>
  <si>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</si>
  <si>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</si>
  <si>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</si>
  <si>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</si>
  <si>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</si>
  <si>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</si>
  <si>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</si>
  <si>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</si>
  <si>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</si>
  <si>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</si>
  <si>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</si>
  <si>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</si>
  <si>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</si>
  <si>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</si>
  <si>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</si>
  <si>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</si>
  <si>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</si>
  <si>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</si>
  <si>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</si>
  <si>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</si>
  <si>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</si>
  <si>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</si>
  <si>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</si>
  <si>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</si>
  <si>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</si>
  <si>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</si>
  <si>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</si>
  <si>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</si>
  <si>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</si>
  <si>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</si>
  <si>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</si>
  <si>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</si>
  <si>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</si>
  <si>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</si>
  <si>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</si>
  <si>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</si>
  <si>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</si>
  <si>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</si>
  <si>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</si>
  <si>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</si>
  <si>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</si>
  <si>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</si>
  <si>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</si>
  <si>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</si>
  <si>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</si>
  <si>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</si>
  <si>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</si>
  <si>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</si>
  <si>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</si>
  <si>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</si>
  <si>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</si>
  <si>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</si>
  <si>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</si>
  <si>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</si>
  <si>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</si>
  <si>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</si>
  <si>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</si>
  <si>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</si>
  <si>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</si>
  <si>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</si>
  <si>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</si>
  <si>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</si>
  <si>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</si>
  <si>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</si>
  <si>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</si>
  <si>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</si>
  <si>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</si>
  <si>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</si>
  <si>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</si>
  <si>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</si>
  <si>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</si>
  <si>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</si>
  <si>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</si>
  <si>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</si>
  <si>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</si>
  <si>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</si>
  <si>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</si>
  <si>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</si>
  <si>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</si>
  <si>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</si>
  <si>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</si>
  <si>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</si>
  <si>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</si>
  <si>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</si>
  <si>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</si>
  <si>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</si>
  <si>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</si>
  <si>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</si>
  <si>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</si>
  <si>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</si>
  <si>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</si>
  <si>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</si>
  <si>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</si>
  <si>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</si>
  <si>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</si>
  <si>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</si>
  <si>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</si>
  <si>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</si>
  <si>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</si>
  <si>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</si>
  <si>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</si>
  <si>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</si>
  <si>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</si>
  <si>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</si>
  <si>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</si>
  <si>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</si>
  <si>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</si>
  <si>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</si>
  <si>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</si>
  <si>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</si>
  <si>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</si>
  <si>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</si>
  <si>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</si>
  <si>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</si>
  <si>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</si>
  <si>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</si>
  <si>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</si>
  <si>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</si>
  <si>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</si>
  <si>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</si>
  <si>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</si>
  <si>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</si>
  <si>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</si>
  <si>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</si>
  <si>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</si>
  <si>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</si>
  <si>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</si>
  <si>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</si>
  <si>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</si>
  <si>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</si>
  <si>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</si>
  <si>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</si>
  <si>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</si>
  <si>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</si>
  <si>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</si>
  <si>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</si>
  <si>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</si>
  <si>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</si>
  <si>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</si>
  <si>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</si>
  <si>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</si>
  <si>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</si>
  <si>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</si>
  <si>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</si>
  <si>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</si>
  <si>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</si>
  <si>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</si>
  <si>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</si>
  <si>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</si>
  <si>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</si>
  <si>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</si>
  <si>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</si>
  <si>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</si>
  <si>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</si>
  <si>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</si>
  <si>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</si>
  <si>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</si>
  <si>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</si>
  <si>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</si>
  <si>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</si>
  <si>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</si>
  <si>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</si>
  <si>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</si>
  <si>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</si>
  <si>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</si>
  <si>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</si>
  <si>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</si>
  <si>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</si>
  <si>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</si>
  <si>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</si>
  <si>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</si>
  <si>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</si>
  <si>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</si>
  <si>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</si>
  <si>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</si>
  <si>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</si>
  <si>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</si>
  <si>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</si>
  <si>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</si>
  <si>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</si>
  <si>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</si>
  <si>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</si>
  <si>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</si>
  <si>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</si>
  <si>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</si>
  <si>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</si>
  <si>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</si>
  <si>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</si>
  <si>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</si>
  <si>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</si>
  <si>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</si>
  <si>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</si>
  <si>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</si>
  <si>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</si>
  <si>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</si>
  <si>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</si>
  <si>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</si>
  <si>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</si>
  <si>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</si>
  <si>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</si>
  <si>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</si>
  <si>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</si>
  <si>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</si>
  <si>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</si>
  <si>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</si>
  <si>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</si>
  <si>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</si>
  <si>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</si>
  <si>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</si>
  <si>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</si>
  <si>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</si>
  <si>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</si>
  <si>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</si>
  <si>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</si>
  <si>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</si>
  <si>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</si>
  <si>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</si>
  <si>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</si>
  <si>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</si>
  <si>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</si>
  <si>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</si>
  <si>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</si>
  <si>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</si>
  <si>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</si>
  <si>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</si>
  <si>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</si>
  <si>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</si>
  <si>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</si>
  <si>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</si>
  <si>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</si>
  <si>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</si>
  <si>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</si>
  <si>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</si>
  <si>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</si>
  <si>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</si>
  <si>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</si>
  <si>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</si>
  <si>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</si>
  <si>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</si>
  <si>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</si>
  <si>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</si>
  <si>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</si>
  <si>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</si>
  <si>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</si>
  <si>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</si>
  <si>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</si>
  <si>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</si>
  <si>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</si>
  <si>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</si>
  <si>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</si>
  <si>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</si>
  <si>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</si>
  <si>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</si>
  <si>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</si>
  <si>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</si>
  <si>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</si>
  <si>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</si>
  <si>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</si>
  <si>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</si>
  <si>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</si>
  <si>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</si>
  <si>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</si>
  <si>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</si>
  <si>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</si>
  <si>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</si>
  <si>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</si>
  <si>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</si>
  <si>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</si>
  <si>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</si>
  <si>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</si>
  <si>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</si>
  <si>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</si>
  <si>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</si>
  <si>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</si>
  <si>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</si>
  <si>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</si>
  <si>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</si>
  <si>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</si>
  <si>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</si>
  <si>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</si>
  <si>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</si>
  <si>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</si>
  <si>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</si>
  <si>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</si>
  <si>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</si>
  <si>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</si>
  <si>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</si>
  <si>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</si>
  <si>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</si>
  <si>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</si>
  <si>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</si>
  <si>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</si>
  <si>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</si>
  <si>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</si>
  <si>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</si>
  <si>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</si>
  <si>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</si>
  <si>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</si>
  <si>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</si>
  <si>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</si>
  <si>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</si>
  <si>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</si>
  <si>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</si>
  <si>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</si>
  <si>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</si>
  <si>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</si>
  <si>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</si>
  <si>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</si>
  <si>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</si>
  <si>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</si>
  <si>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</si>
  <si>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</si>
  <si>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</si>
  <si>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</si>
  <si>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</si>
  <si>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</si>
  <si>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</si>
  <si>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</si>
  <si>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</si>
  <si>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</si>
  <si>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</si>
  <si>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</si>
  <si>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</si>
  <si>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</si>
  <si>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</si>
  <si>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</si>
  <si>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</si>
  <si>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</si>
  <si>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</si>
  <si>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</si>
  <si>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</si>
  <si>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</si>
  <si>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</si>
  <si>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</si>
  <si>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</si>
  <si>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</si>
  <si>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</si>
  <si>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</si>
  <si>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</si>
  <si>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</si>
  <si>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</si>
  <si>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</si>
  <si>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</si>
  <si>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</si>
  <si>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</si>
  <si>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</si>
  <si>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</si>
  <si>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</si>
  <si>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</si>
  <si>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</si>
  <si>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</si>
  <si>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</si>
  <si>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</si>
  <si>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</si>
  <si>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</si>
  <si>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</si>
  <si>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</si>
  <si>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</si>
  <si>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</si>
  <si>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</si>
  <si>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</si>
  <si>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</si>
  <si>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</si>
  <si>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</si>
  <si>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</si>
  <si>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</si>
  <si>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</si>
  <si>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</si>
  <si>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</si>
  <si>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</si>
  <si>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</si>
  <si>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</si>
  <si>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</si>
  <si>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</si>
  <si>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</si>
  <si>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</si>
  <si>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</si>
  <si>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</si>
  <si>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</si>
  <si>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</si>
  <si>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</si>
  <si>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</si>
  <si>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</si>
  <si>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</si>
  <si>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</si>
  <si>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</si>
  <si>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</si>
  <si>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</si>
  <si>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</si>
  <si>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</si>
  <si>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</si>
  <si>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</si>
  <si>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</si>
  <si>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</si>
  <si>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</si>
  <si>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</si>
  <si>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</si>
  <si>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</si>
  <si>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</si>
  <si>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</si>
  <si>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</si>
  <si>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</si>
  <si>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</si>
  <si>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</si>
  <si>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</si>
  <si>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</si>
  <si>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</si>
  <si>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</si>
  <si>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</si>
  <si>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</si>
  <si>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</si>
  <si>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</si>
  <si>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</si>
  <si>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</si>
  <si>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</si>
  <si>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</si>
  <si>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</si>
  <si>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</si>
  <si>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</si>
  <si>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</si>
  <si>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</si>
  <si>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</si>
  <si>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</si>
  <si>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</si>
  <si>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</si>
  <si>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</si>
  <si>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</si>
  <si>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</si>
  <si>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</si>
  <si>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</si>
  <si>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</si>
  <si>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</si>
  <si>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</si>
  <si>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</si>
  <si>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</si>
  <si>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</si>
  <si>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</si>
  <si>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</si>
  <si>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</si>
  <si>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</si>
  <si>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</si>
  <si>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</si>
  <si>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</si>
  <si>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</si>
  <si>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</si>
  <si>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</si>
  <si>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</si>
  <si>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</si>
  <si>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</si>
  <si>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</si>
  <si>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</si>
  <si>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</si>
  <si>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</si>
  <si>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</si>
  <si>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</si>
  <si>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</si>
  <si>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</si>
  <si>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</si>
  <si>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</si>
  <si>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</si>
  <si>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</si>
  <si>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</si>
  <si>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</si>
  <si>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</si>
  <si>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</si>
  <si>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</si>
  <si>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</si>
  <si>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</si>
  <si>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</si>
  <si>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</si>
  <si>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</si>
  <si>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</si>
  <si>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</si>
  <si>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</si>
  <si>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</si>
  <si>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</si>
  <si>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</si>
  <si>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</si>
  <si>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</si>
  <si>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</si>
  <si>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</si>
  <si>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</si>
  <si>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</si>
  <si>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</si>
  <si>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</si>
  <si>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</si>
  <si>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</si>
  <si>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</si>
  <si>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</si>
  <si>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</si>
  <si>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</si>
  <si>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</si>
  <si>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</si>
  <si>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</si>
  <si>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</si>
  <si>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</si>
  <si>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</si>
  <si>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</si>
  <si>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</si>
  <si>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</si>
  <si>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</si>
  <si>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</si>
  <si>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</si>
  <si>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</si>
  <si>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</si>
  <si>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</si>
  <si>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</si>
  <si>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</si>
  <si>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</si>
  <si>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</si>
  <si>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</si>
  <si>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</si>
  <si>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</si>
  <si>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</si>
  <si>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</si>
  <si>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</si>
  <si>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</si>
  <si>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</si>
  <si>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</si>
  <si>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</si>
  <si>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</si>
  <si>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</si>
  <si>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</si>
  <si>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</si>
  <si>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</si>
  <si>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</si>
  <si>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</si>
  <si>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</si>
  <si>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</si>
  <si>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</si>
  <si>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</si>
  <si>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</si>
  <si>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</si>
  <si>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</si>
  <si>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</si>
  <si>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</si>
  <si>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</si>
  <si>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</si>
  <si>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</si>
  <si>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</si>
  <si>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</si>
  <si>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</si>
  <si>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</si>
  <si>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</si>
  <si>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</si>
  <si>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</si>
  <si>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</si>
  <si>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</si>
  <si>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</si>
  <si>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</si>
  <si>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</si>
  <si>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</si>
  <si>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</si>
  <si>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</si>
  <si>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</si>
  <si>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</si>
  <si>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</si>
  <si>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</si>
  <si>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</si>
  <si>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</si>
  <si>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</si>
  <si>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</si>
  <si>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</si>
  <si>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</si>
  <si>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</si>
  <si>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</si>
  <si>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</si>
  <si>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</si>
  <si>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</si>
  <si>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</si>
  <si>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</si>
  <si>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</si>
  <si>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</si>
  <si>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</si>
  <si>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</si>
  <si>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</si>
  <si>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</si>
  <si>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</si>
  <si>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</si>
  <si>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</si>
  <si>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</si>
  <si>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</si>
  <si>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</si>
  <si>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</si>
  <si>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</si>
  <si>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</si>
  <si>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</si>
  <si>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</si>
  <si>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</si>
  <si>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</si>
  <si>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</si>
  <si>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</si>
  <si>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</si>
  <si>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</si>
  <si>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</si>
  <si>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</si>
  <si>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</si>
  <si>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</si>
  <si>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</si>
  <si>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</si>
  <si>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</si>
  <si>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</si>
  <si>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</si>
  <si>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</si>
  <si>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</si>
  <si>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</si>
  <si>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</si>
  <si>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</si>
  <si>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</si>
  <si>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</si>
  <si>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</si>
  <si>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</si>
  <si>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</si>
  <si>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</si>
  <si>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</si>
  <si>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</si>
  <si>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</si>
  <si>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</si>
  <si>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</si>
  <si>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</si>
  <si>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</si>
  <si>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</si>
  <si>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</si>
  <si>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</si>
  <si>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</si>
  <si>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</si>
  <si>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</si>
  <si>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</si>
  <si>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</si>
  <si>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</si>
  <si>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</si>
  <si>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</si>
  <si>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</si>
  <si>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</si>
  <si>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</si>
  <si>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</si>
  <si>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</si>
  <si>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</si>
  <si>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</si>
  <si>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</si>
  <si>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</si>
  <si>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</si>
  <si>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</si>
  <si>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</si>
  <si>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</si>
  <si>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</si>
  <si>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</si>
  <si>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</si>
  <si>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</si>
  <si>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</si>
  <si>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</si>
  <si>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</si>
  <si>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</si>
  <si>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</si>
  <si>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</si>
  <si>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</si>
  <si>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</si>
  <si>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</si>
  <si>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</si>
  <si>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</si>
  <si>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</si>
  <si>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</si>
  <si>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</si>
  <si>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</si>
  <si>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</si>
  <si>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</si>
  <si>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</si>
  <si>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</si>
  <si>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</si>
  <si>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</si>
  <si>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</si>
  <si>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</si>
  <si>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</si>
  <si>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</si>
  <si>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</si>
  <si>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</si>
  <si>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</si>
  <si>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</si>
  <si>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</si>
  <si>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</si>
  <si>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</si>
  <si>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</si>
  <si>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</si>
  <si>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</si>
  <si>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</si>
  <si>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</si>
  <si>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</si>
  <si>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</si>
  <si>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</si>
  <si>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</si>
  <si>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</si>
  <si>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</si>
  <si>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</si>
  <si>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</si>
  <si>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</si>
  <si>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</si>
  <si>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</si>
  <si>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</si>
  <si>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</si>
  <si>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</si>
  <si>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</si>
  <si>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</si>
  <si>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</si>
  <si>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</si>
  <si>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</si>
  <si>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</si>
  <si>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</si>
  <si>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</si>
  <si>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</si>
  <si>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</si>
  <si>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</si>
  <si>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</si>
  <si>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</si>
  <si>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</si>
  <si>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</si>
  <si>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</si>
  <si>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</si>
  <si>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</si>
  <si>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</si>
  <si>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</si>
  <si>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</si>
  <si>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</si>
  <si>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</si>
  <si>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</si>
  <si>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</si>
  <si>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</si>
  <si>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</si>
  <si>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</si>
  <si>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</si>
  <si>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</si>
  <si>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</si>
  <si>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</si>
  <si>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</si>
  <si>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</si>
  <si>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</si>
  <si>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</si>
  <si>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</si>
  <si>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</si>
  <si>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</si>
  <si>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</si>
  <si>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</si>
  <si>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</si>
  <si>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</si>
  <si>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</si>
  <si>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</si>
  <si>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</si>
  <si>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</si>
  <si>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</si>
  <si>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</si>
  <si>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</si>
  <si>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</si>
  <si>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</si>
  <si>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</si>
  <si>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</si>
  <si>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</si>
  <si>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</si>
  <si>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</si>
  <si>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</si>
  <si>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</si>
  <si>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</si>
  <si>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</si>
  <si>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</si>
  <si>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</si>
  <si>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</si>
  <si>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</si>
  <si>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</si>
  <si>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</si>
  <si>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</si>
  <si>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</si>
  <si>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</si>
  <si>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</si>
  <si>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</si>
  <si>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</si>
  <si>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</si>
  <si>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</si>
  <si>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</si>
  <si>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</si>
  <si>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</si>
  <si>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</si>
  <si>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</si>
  <si>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</si>
  <si>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</si>
  <si>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</si>
  <si>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</si>
  <si>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</si>
  <si>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</si>
  <si>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</si>
  <si>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</si>
  <si>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</si>
  <si>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</si>
  <si>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</si>
  <si>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</si>
  <si>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</si>
  <si>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</si>
  <si>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</si>
  <si>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</si>
  <si>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</si>
  <si>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</si>
  <si>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</si>
  <si>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</si>
  <si>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</si>
  <si>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</si>
  <si>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</si>
  <si>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</si>
  <si>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</si>
  <si>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</si>
  <si>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</si>
  <si>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</si>
  <si>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</si>
  <si>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</si>
  <si>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</si>
  <si>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</si>
  <si>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</si>
  <si>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</si>
  <si>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</si>
  <si>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</si>
  <si>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</si>
  <si>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</si>
  <si>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</si>
  <si>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</si>
  <si>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</si>
  <si>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</si>
  <si>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</si>
  <si>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</si>
  <si>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</si>
  <si>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</si>
  <si>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</si>
  <si>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</si>
  <si>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</si>
  <si>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</si>
  <si>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</si>
  <si>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</si>
  <si>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</si>
  <si>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</si>
  <si>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</si>
  <si>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</si>
  <si>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</si>
  <si>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</si>
  <si>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</si>
  <si>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</si>
  <si>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</si>
  <si>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</si>
  <si>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</si>
  <si>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</si>
  <si>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</si>
  <si>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</si>
  <si>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</si>
  <si>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</si>
  <si>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</si>
  <si>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</si>
  <si>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</si>
  <si>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</si>
  <si>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</si>
  <si>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</si>
  <si>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</si>
  <si>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</si>
  <si>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</si>
  <si>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</si>
  <si>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</si>
  <si>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</si>
  <si>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</si>
  <si>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</si>
  <si>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</si>
  <si>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</si>
  <si>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</si>
  <si>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</si>
  <si>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</si>
  <si>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</si>
  <si>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</si>
  <si>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</si>
  <si>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</si>
  <si>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</si>
  <si>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</si>
  <si>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</si>
  <si>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</si>
  <si>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</si>
  <si>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</si>
  <si>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</si>
  <si>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</si>
  <si>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</si>
  <si>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</si>
  <si>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</si>
  <si>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</si>
  <si>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</si>
  <si>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</si>
  <si>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</si>
  <si>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</si>
  <si>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</si>
  <si>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</si>
  <si>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</si>
  <si>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</si>
  <si>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</si>
  <si>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</si>
  <si>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</si>
  <si>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</si>
  <si>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</si>
  <si>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</si>
  <si>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</si>
  <si>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</si>
  <si>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</si>
  <si>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</si>
  <si>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</si>
  <si>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</si>
  <si>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</si>
  <si>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</si>
  <si>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</si>
  <si>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</si>
  <si>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</si>
  <si>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</si>
  <si>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</si>
  <si>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</si>
  <si>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</si>
  <si>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</si>
  <si>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</si>
  <si>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</si>
  <si>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</si>
  <si>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</si>
  <si>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</si>
  <si>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</si>
  <si>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</si>
  <si>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</si>
  <si>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</si>
  <si>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</si>
  <si>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</si>
  <si>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</si>
  <si>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</si>
  <si>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</si>
  <si>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</si>
  <si>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</si>
  <si>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</si>
  <si>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</si>
  <si>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</si>
  <si>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</si>
  <si>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</si>
  <si>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</si>
  <si>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</si>
  <si>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</si>
  <si>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</si>
  <si>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</si>
  <si>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</si>
  <si>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</si>
  <si>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</si>
  <si>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</si>
  <si>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</si>
  <si>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</si>
  <si>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</si>
  <si>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</si>
  <si>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</si>
  <si>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</si>
  <si>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</si>
  <si>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</si>
  <si>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</si>
  <si>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</si>
  <si>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</si>
  <si>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</si>
  <si>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</si>
  <si>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</si>
  <si>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</si>
  <si>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</si>
  <si>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</si>
  <si>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</si>
  <si>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</si>
  <si>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</si>
  <si>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</si>
  <si>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</si>
  <si>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</si>
  <si>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</si>
  <si>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</si>
  <si>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</si>
  <si>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</si>
  <si>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</si>
  <si>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</si>
  <si>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</si>
  <si>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</si>
  <si>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</si>
  <si>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</si>
  <si>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</si>
  <si>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</si>
  <si>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</si>
  <si>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</si>
  <si>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</si>
  <si>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</si>
  <si>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</si>
  <si>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</si>
  <si>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</si>
  <si>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</si>
  <si>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</si>
  <si>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</si>
  <si>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</si>
  <si>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</si>
  <si>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</si>
  <si>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</si>
  <si>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</si>
  <si>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</si>
  <si>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</si>
  <si>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</si>
  <si>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</si>
  <si>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</si>
  <si>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</si>
  <si>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</si>
  <si>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</si>
  <si>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</si>
  <si>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</si>
  <si>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</si>
  <si>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</si>
  <si>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</si>
  <si>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</si>
  <si>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</si>
  <si>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</si>
  <si>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</si>
  <si>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</si>
  <si>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</si>
  <si>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</si>
  <si>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</si>
  <si>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</si>
  <si>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</si>
  <si>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</si>
  <si>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</si>
  <si>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</si>
  <si>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</si>
  <si>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</si>
  <si>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</si>
  <si>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</si>
  <si>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</si>
  <si>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</si>
  <si>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</si>
  <si>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</si>
  <si>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</si>
  <si>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</si>
  <si>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</si>
  <si>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</si>
  <si>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</si>
  <si>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</si>
  <si>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</si>
  <si>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</si>
  <si>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</si>
  <si>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</si>
  <si>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</si>
  <si>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</si>
  <si>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</si>
  <si>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</si>
  <si>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</si>
  <si>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</si>
  <si>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</si>
  <si>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</si>
  <si>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</si>
  <si>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</si>
  <si>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</si>
  <si>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</si>
  <si>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</si>
  <si>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</si>
  <si>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</si>
  <si>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</si>
  <si>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</si>
  <si>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</si>
  <si>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</si>
  <si>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</si>
  <si>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</si>
  <si>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</si>
  <si>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</si>
  <si>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</si>
  <si>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</si>
  <si>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</si>
  <si>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</si>
  <si>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</si>
  <si>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</si>
  <si>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</si>
  <si>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</si>
  <si>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</si>
  <si>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</si>
  <si>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</si>
  <si>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</si>
  <si>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</si>
  <si>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</si>
  <si>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</si>
  <si>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</si>
  <si>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</si>
  <si>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</si>
  <si>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</si>
  <si>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</si>
  <si>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</si>
  <si>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</si>
  <si>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</si>
  <si>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</si>
  <si>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</si>
  <si>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</si>
  <si>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</si>
  <si>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</si>
  <si>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</si>
  <si>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</si>
  <si>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</si>
  <si>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</si>
  <si>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</si>
  <si>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</si>
  <si>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</si>
  <si>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</si>
  <si>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</si>
  <si>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</si>
  <si>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</si>
  <si>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</si>
  <si>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</si>
  <si>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</si>
  <si>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</si>
  <si>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</si>
  <si>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</si>
  <si>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</si>
  <si>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</si>
  <si>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</si>
  <si>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</si>
  <si>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</si>
  <si>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</si>
  <si>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</si>
  <si>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</si>
  <si>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</si>
  <si>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</si>
  <si>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</si>
  <si>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</si>
  <si>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</si>
  <si>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</si>
  <si>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</si>
  <si>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</si>
  <si>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</si>
  <si>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</si>
  <si>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</si>
  <si>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</si>
  <si>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</si>
  <si>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</si>
  <si>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</si>
  <si>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</si>
  <si>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</si>
  <si>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</si>
  <si>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</si>
  <si>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</si>
  <si>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</si>
  <si>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</si>
  <si>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</si>
  <si>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</si>
  <si>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</si>
  <si>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</si>
  <si>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</si>
  <si>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</si>
  <si>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</si>
  <si>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</si>
  <si>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</si>
  <si>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</si>
  <si>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</si>
  <si>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</si>
  <si>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</si>
  <si>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</si>
  <si>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</si>
  <si>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</si>
  <si>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</si>
  <si>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</si>
  <si>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</si>
  <si>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</si>
  <si>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</si>
  <si>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</si>
  <si>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</si>
  <si>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</si>
  <si>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</si>
  <si>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</si>
  <si>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</si>
  <si>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</si>
  <si>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</si>
  <si>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</si>
  <si>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</si>
  <si>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</si>
  <si>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</si>
  <si>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</si>
  <si>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</si>
  <si>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</si>
  <si>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</si>
  <si>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</si>
  <si>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</si>
  <si>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</si>
  <si>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</si>
  <si>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</si>
  <si>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</si>
  <si>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</si>
  <si>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</si>
  <si>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</si>
  <si>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</si>
  <si>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</si>
  <si>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</si>
  <si>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</si>
  <si>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</si>
  <si>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</si>
  <si>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</si>
  <si>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</si>
  <si>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</si>
  <si>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</si>
  <si>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</si>
  <si>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</si>
  <si>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</si>
  <si>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</si>
  <si>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</si>
  <si>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</si>
  <si>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</si>
  <si>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</si>
  <si>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</si>
  <si>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</si>
  <si>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</si>
  <si>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</si>
  <si>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</si>
  <si>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</si>
  <si>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</si>
  <si>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</si>
  <si>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</si>
  <si>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</si>
  <si>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</si>
  <si>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</si>
  <si>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</si>
  <si>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</si>
  <si>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</si>
  <si>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</si>
  <si>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</si>
  <si>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</si>
  <si>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</si>
  <si>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</si>
  <si>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</si>
  <si>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</si>
  <si>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</si>
  <si>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</si>
  <si>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</si>
  <si>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</si>
  <si>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</si>
  <si>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</si>
  <si>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</si>
  <si>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</si>
  <si>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</si>
  <si>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</si>
  <si>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</si>
  <si>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</si>
  <si>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</si>
  <si>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</si>
  <si>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</si>
  <si>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</si>
  <si>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</si>
  <si>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</si>
  <si>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</si>
  <si>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</si>
  <si>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</si>
  <si>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</si>
  <si>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</si>
  <si>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</si>
  <si>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</si>
  <si>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</si>
  <si>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</si>
  <si>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</si>
  <si>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</si>
  <si>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</si>
  <si>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</si>
  <si>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</si>
  <si>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</si>
  <si>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</si>
  <si>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</si>
  <si>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</si>
  <si>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</si>
  <si>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</si>
  <si>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</si>
  <si>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</si>
  <si>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</si>
  <si>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</si>
  <si>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</si>
  <si>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</si>
  <si>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</si>
  <si>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</si>
  <si>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</si>
  <si>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</si>
  <si>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</si>
  <si>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</si>
  <si>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</si>
  <si>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</si>
  <si>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</si>
  <si>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</si>
  <si>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</si>
  <si>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</si>
  <si>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</si>
  <si>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</si>
  <si>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</si>
  <si>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</si>
  <si>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</si>
  <si>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</si>
  <si>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</si>
  <si>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</si>
  <si>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</si>
  <si>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</si>
  <si>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</si>
  <si>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</si>
  <si>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</si>
  <si>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</si>
  <si>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</si>
  <si>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</si>
  <si>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</si>
  <si>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</si>
  <si>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</si>
  <si>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</si>
  <si>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</si>
  <si>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</si>
  <si>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</si>
  <si>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</si>
  <si>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</si>
  <si>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</si>
  <si>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</si>
  <si>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</si>
  <si>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</si>
  <si>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</si>
  <si>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</si>
  <si>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</si>
  <si>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</si>
  <si>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</si>
  <si>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</si>
  <si>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</si>
  <si>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</si>
  <si>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</si>
  <si>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</si>
  <si>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</si>
  <si>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</si>
  <si>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</si>
  <si>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</si>
  <si>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</si>
  <si>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</si>
  <si>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</si>
  <si>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</si>
  <si>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</si>
  <si>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</si>
  <si>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</si>
  <si>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</si>
  <si>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</si>
  <si>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</si>
  <si>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</si>
  <si>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</si>
  <si>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</si>
  <si>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</si>
  <si>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</si>
  <si>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</si>
  <si>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</si>
  <si>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</si>
  <si>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</si>
  <si>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</si>
  <si>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</si>
  <si>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</si>
  <si>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</si>
  <si>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</si>
  <si>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</si>
  <si>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</si>
  <si>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</si>
  <si>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</si>
  <si>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</si>
  <si>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</si>
  <si>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</si>
  <si>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</si>
  <si>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</si>
  <si>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</si>
  <si>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</si>
  <si>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</si>
  <si>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</si>
  <si>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</si>
  <si>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</si>
  <si>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</si>
  <si>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</si>
  <si>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</si>
  <si>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</si>
  <si>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</si>
  <si>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</si>
  <si>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</si>
  <si>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</si>
  <si>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</si>
  <si>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</si>
  <si>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</si>
  <si>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</si>
  <si>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</si>
  <si>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</si>
  <si>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</si>
  <si>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</si>
  <si>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</si>
  <si>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</si>
  <si>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</si>
  <si>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</si>
  <si>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</si>
  <si>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</si>
  <si>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</si>
  <si>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</si>
  <si>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</si>
  <si>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</si>
  <si>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</si>
  <si>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</si>
  <si>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</si>
  <si>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</si>
  <si>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</si>
  <si>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</si>
  <si>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</si>
  <si>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</si>
  <si>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</si>
  <si>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</si>
  <si>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</si>
  <si>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</si>
  <si>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</si>
  <si>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</si>
  <si>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</si>
  <si>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</si>
  <si>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</si>
  <si>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</si>
  <si>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</si>
  <si>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</si>
  <si>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</si>
  <si>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</si>
  <si>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</si>
  <si>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</si>
  <si>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</si>
  <si>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</si>
  <si>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</si>
  <si>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</si>
  <si>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</si>
  <si>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</si>
  <si>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</si>
  <si>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</si>
  <si>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</si>
  <si>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</si>
  <si>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</si>
  <si>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</si>
  <si>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</si>
  <si>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</si>
  <si>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</si>
  <si>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</si>
  <si>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</si>
  <si>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</si>
  <si>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</si>
  <si>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</si>
  <si>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</si>
  <si>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</si>
  <si>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</si>
  <si>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</si>
  <si>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</si>
  <si>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</si>
  <si>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</si>
  <si>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</si>
  <si>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</si>
  <si>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</si>
  <si>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</si>
  <si>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</si>
  <si>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</si>
  <si>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</si>
  <si>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</si>
  <si>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</si>
  <si>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</si>
  <si>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</si>
  <si>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</si>
  <si>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</si>
  <si>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</si>
  <si>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</si>
  <si>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</si>
  <si>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</si>
  <si>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</si>
  <si>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</si>
  <si>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</si>
  <si>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</si>
  <si>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</si>
  <si>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</si>
  <si>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</si>
  <si>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</si>
  <si>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</si>
  <si>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</si>
  <si>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</si>
  <si>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</si>
  <si>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</si>
  <si>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</si>
  <si>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</si>
  <si>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</si>
  <si>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</si>
  <si>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</si>
  <si>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</si>
  <si>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</si>
  <si>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</si>
  <si>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</si>
  <si>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</si>
  <si>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</si>
  <si>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</si>
  <si>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</si>
  <si>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</si>
  <si>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</si>
  <si>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</si>
  <si>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</si>
  <si>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</si>
  <si>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</si>
  <si>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</si>
  <si>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</si>
  <si>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</si>
  <si>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</si>
  <si>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</si>
  <si>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</si>
  <si>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</si>
  <si>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</si>
  <si>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</si>
  <si>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</si>
  <si>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</si>
  <si>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</si>
  <si>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</si>
  <si>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</si>
  <si>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</si>
  <si>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</si>
  <si>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</si>
  <si>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</si>
  <si>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</si>
  <si>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</si>
  <si>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</si>
  <si>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</si>
  <si>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</si>
  <si>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</si>
  <si>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</si>
  <si>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</si>
  <si>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</si>
  <si>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</si>
  <si>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</si>
  <si>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</si>
  <si>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</si>
  <si>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</si>
  <si>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</si>
  <si>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</si>
  <si>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</si>
  <si>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</si>
  <si>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</si>
  <si>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</si>
  <si>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</si>
  <si>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</si>
  <si>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</si>
  <si>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</si>
  <si>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</si>
  <si>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</si>
  <si>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</si>
  <si>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</si>
  <si>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</si>
  <si>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</si>
  <si>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</si>
  <si>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</si>
  <si>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</si>
  <si>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</si>
  <si>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</si>
  <si>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</si>
  <si>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</si>
  <si>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</si>
  <si>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</si>
  <si>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</si>
  <si>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</si>
  <si>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</si>
  <si>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</si>
  <si>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</si>
  <si>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</si>
  <si>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</si>
  <si>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</si>
  <si>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</si>
  <si>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</si>
  <si>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</si>
  <si>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</si>
  <si>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</si>
  <si>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</si>
  <si>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</si>
  <si>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</si>
  <si>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</si>
  <si>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</si>
  <si>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</si>
  <si>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</si>
  <si>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</si>
  <si>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</si>
  <si>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</si>
  <si>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</si>
  <si>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</si>
  <si>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</si>
  <si>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</si>
  <si>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</si>
  <si>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</si>
  <si>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</si>
  <si>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</si>
  <si>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</si>
  <si>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</si>
  <si>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</si>
  <si>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</si>
  <si>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</si>
  <si>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</si>
  <si>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</si>
  <si>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</si>
  <si>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</si>
  <si>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</si>
  <si>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</si>
  <si>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</si>
  <si>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</si>
  <si>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</si>
  <si>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</si>
  <si>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</si>
  <si>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</si>
  <si>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</si>
  <si>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</si>
  <si>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</si>
  <si>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</si>
  <si>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</si>
  <si>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</si>
  <si>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</si>
  <si>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</si>
  <si>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</si>
  <si>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</si>
  <si>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</si>
  <si>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</si>
  <si>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</si>
  <si>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</si>
  <si>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</si>
  <si>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</si>
  <si>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</si>
  <si>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</si>
  <si>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</si>
  <si>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</si>
  <si>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</si>
  <si>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</si>
  <si>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</si>
  <si>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</si>
  <si>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</si>
  <si>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</si>
  <si>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</si>
  <si>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</si>
  <si>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</si>
  <si>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</si>
  <si>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</si>
  <si>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</si>
  <si>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</si>
  <si>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</si>
  <si>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</si>
  <si>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</si>
  <si>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</si>
  <si>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</si>
  <si>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</si>
  <si>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</si>
  <si>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</si>
  <si>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</si>
  <si>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</si>
  <si>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</si>
  <si>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</si>
  <si>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</si>
  <si>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</si>
  <si>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</si>
  <si>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</si>
  <si>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</si>
  <si>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</si>
  <si>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</si>
  <si>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</si>
  <si>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</si>
  <si>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</si>
  <si>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</si>
  <si>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</si>
  <si>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</si>
  <si>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</si>
  <si>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</si>
  <si>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</si>
  <si>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</si>
  <si>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</si>
  <si>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</si>
  <si>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</si>
  <si>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</si>
  <si>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</si>
  <si>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</si>
  <si>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</si>
  <si>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</si>
  <si>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</si>
  <si>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</si>
  <si>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</si>
  <si>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</si>
  <si>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</si>
  <si>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</si>
  <si>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</si>
  <si>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</si>
  <si>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</si>
  <si>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</si>
  <si>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</si>
  <si>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</si>
  <si>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</si>
  <si>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</si>
  <si>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</si>
  <si>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</si>
  <si>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</si>
  <si>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</si>
  <si>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</si>
  <si>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</si>
  <si>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</si>
  <si>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</si>
  <si>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</si>
  <si>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</si>
  <si>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</si>
  <si>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</si>
  <si>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</si>
  <si>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</si>
  <si>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</si>
  <si>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</si>
  <si>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</si>
  <si>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</si>
  <si>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</si>
  <si>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</si>
  <si>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</si>
  <si>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</si>
  <si>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</si>
  <si>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</si>
  <si>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</si>
  <si>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</si>
  <si>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</si>
  <si>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</si>
  <si>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</si>
  <si>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</si>
  <si>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</si>
  <si>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</si>
  <si>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</si>
  <si>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</si>
  <si>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</si>
  <si>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</si>
  <si>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</si>
  <si>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</si>
  <si>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</si>
  <si>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</si>
  <si>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</si>
  <si>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</si>
  <si>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</si>
  <si>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</si>
  <si>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</si>
  <si>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</si>
  <si>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</si>
  <si>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</si>
  <si>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</si>
  <si>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</si>
  <si>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</si>
  <si>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</si>
  <si>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</si>
  <si>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</si>
  <si>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</si>
  <si>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</si>
  <si>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</si>
  <si>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</si>
  <si>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</si>
  <si>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</si>
  <si>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</si>
  <si>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</si>
  <si>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</si>
  <si>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</si>
  <si>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</si>
  <si>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</si>
  <si>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</si>
  <si>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</si>
  <si>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</si>
  <si>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</si>
  <si>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</si>
  <si>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</si>
  <si>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</si>
  <si>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</si>
  <si>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</si>
  <si>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</si>
  <si>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</si>
  <si>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</si>
  <si>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</si>
  <si>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</si>
  <si>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</si>
  <si>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</si>
  <si>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</si>
  <si>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</si>
  <si>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</si>
  <si>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</si>
  <si>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</si>
  <si>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</si>
  <si>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</si>
  <si>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</si>
  <si>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</si>
  <si>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</si>
  <si>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</si>
  <si>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</si>
  <si>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</si>
  <si>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</si>
  <si>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</si>
  <si>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</si>
  <si>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</si>
  <si>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</si>
  <si>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</si>
  <si>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</si>
  <si>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</si>
  <si>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</si>
  <si>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</si>
  <si>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</si>
  <si>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</si>
  <si>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</si>
  <si>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</si>
  <si>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</si>
  <si>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</si>
  <si>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</si>
  <si>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</si>
  <si>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</si>
  <si>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</si>
  <si>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</si>
  <si>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</si>
  <si>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</si>
  <si>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</si>
  <si>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</si>
  <si>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</si>
  <si>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</si>
  <si>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</si>
  <si>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</si>
  <si>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</si>
  <si>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</si>
  <si>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</si>
  <si>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</si>
  <si>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</si>
  <si>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</si>
  <si>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</si>
  <si>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</si>
  <si>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</si>
  <si>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</si>
  <si>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</si>
  <si>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</si>
  <si>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</si>
  <si>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</si>
  <si>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</si>
  <si>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</si>
  <si>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</si>
  <si>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</si>
  <si>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</si>
  <si>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</si>
  <si>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</si>
  <si>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</si>
  <si>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</si>
  <si>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</si>
  <si>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</si>
  <si>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</si>
  <si>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</si>
  <si>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</si>
  <si>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</si>
  <si>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</si>
  <si>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</si>
  <si>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</si>
  <si>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</si>
  <si>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</si>
  <si>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</si>
  <si>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</si>
  <si>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</si>
  <si>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</si>
  <si>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</si>
  <si>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</si>
  <si>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</si>
  <si>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</si>
  <si>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</si>
  <si>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</si>
  <si>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</si>
  <si>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</si>
  <si>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</si>
  <si>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</si>
  <si>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</si>
  <si>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</si>
  <si>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</si>
  <si>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</si>
  <si>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</si>
  <si>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</si>
  <si>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</si>
  <si>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</si>
  <si>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</si>
  <si>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</si>
  <si>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</si>
  <si>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</si>
  <si>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</si>
  <si>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</si>
  <si>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</si>
  <si>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</si>
  <si>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</si>
  <si>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</si>
  <si>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</si>
  <si>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</si>
  <si>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</si>
  <si>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</si>
  <si>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</si>
  <si>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</si>
  <si>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</si>
  <si>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</si>
  <si>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</si>
  <si>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</si>
  <si>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</si>
  <si>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</si>
  <si>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</si>
  <si>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</si>
  <si>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</si>
  <si>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</si>
  <si>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</si>
  <si>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</si>
  <si>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</si>
  <si>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</si>
  <si>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</si>
  <si>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</si>
  <si>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</si>
  <si>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</si>
  <si>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</si>
  <si>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</si>
  <si>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</si>
  <si>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</si>
  <si>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</si>
  <si>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</si>
  <si>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</si>
  <si>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</si>
  <si>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</si>
  <si>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</si>
  <si>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</si>
  <si>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</si>
  <si>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</si>
  <si>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</si>
  <si>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</si>
  <si>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</si>
  <si>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</si>
  <si>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</si>
  <si>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</si>
  <si>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</si>
  <si>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</si>
  <si>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</si>
  <si>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</si>
  <si>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</si>
  <si>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</si>
  <si>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</si>
  <si>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</si>
  <si>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</si>
  <si>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</si>
  <si>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</si>
  <si>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</si>
  <si>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</si>
  <si>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</si>
  <si>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</si>
  <si>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</si>
  <si>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</si>
  <si>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</si>
  <si>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</si>
  <si>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</si>
  <si>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</si>
  <si>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</si>
  <si>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</si>
  <si>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</si>
  <si>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</si>
  <si>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</si>
  <si>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</si>
  <si>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</si>
  <si>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</si>
  <si>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</si>
  <si>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</si>
  <si>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</si>
  <si>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</si>
  <si>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</si>
  <si>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</si>
  <si>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</si>
  <si>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</si>
  <si>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</si>
  <si>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</si>
  <si>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</si>
  <si>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</si>
  <si>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</si>
  <si>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</si>
  <si>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</si>
  <si>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</si>
  <si>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</si>
  <si>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</si>
  <si>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</si>
  <si>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</si>
  <si>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</si>
  <si>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</si>
  <si>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</si>
  <si>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</si>
  <si>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</si>
  <si>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</si>
  <si>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</si>
  <si>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</si>
  <si>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</si>
  <si>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</si>
  <si>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</si>
  <si>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</si>
  <si>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</si>
  <si>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</si>
  <si>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</si>
  <si>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</si>
  <si>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</si>
  <si>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</si>
  <si>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</si>
  <si>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</si>
  <si>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</si>
  <si>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</si>
  <si>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</si>
  <si>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</si>
  <si>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</si>
  <si>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</si>
  <si>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</si>
  <si>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</si>
  <si>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</si>
  <si>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</si>
  <si>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</si>
  <si>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</si>
  <si>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</si>
  <si>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</si>
  <si>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</si>
  <si>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</si>
  <si>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</si>
  <si>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</si>
  <si>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</si>
  <si>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</si>
  <si>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</si>
  <si>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</si>
  <si>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</si>
  <si>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</si>
  <si>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</si>
  <si>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</si>
  <si>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</si>
  <si>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</si>
  <si>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</si>
  <si>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</si>
  <si>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</si>
  <si>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</si>
  <si>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</si>
  <si>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</si>
  <si>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</si>
  <si>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</si>
  <si>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</si>
  <si>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</si>
  <si>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</si>
  <si>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</si>
  <si>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</si>
  <si>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</si>
  <si>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</si>
  <si>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</si>
  <si>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</si>
  <si>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</si>
  <si>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</si>
  <si>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</si>
  <si>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</si>
  <si>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</si>
  <si>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</si>
  <si>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</si>
  <si>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</si>
  <si>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</si>
  <si>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</si>
  <si>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</si>
  <si>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</si>
  <si>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</si>
  <si>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</si>
  <si>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</si>
  <si>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</si>
  <si>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</si>
  <si>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</si>
  <si>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</si>
  <si>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</si>
  <si>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</si>
  <si>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</si>
  <si>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</si>
  <si>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</si>
  <si>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</si>
  <si>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</si>
  <si>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</si>
  <si>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</si>
  <si>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</si>
  <si>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</si>
  <si>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</si>
  <si>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</si>
  <si>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</si>
  <si>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</si>
  <si>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</si>
  <si>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</si>
  <si>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</si>
  <si>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</si>
  <si>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</si>
  <si>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</si>
  <si>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</si>
  <si>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</si>
  <si>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</si>
  <si>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</si>
  <si>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</si>
  <si>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</si>
  <si>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</si>
  <si>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</si>
  <si>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</si>
  <si>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</si>
  <si>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</si>
  <si>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</si>
  <si>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</si>
  <si>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</si>
  <si>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</si>
  <si>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</si>
  <si>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</si>
  <si>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</si>
  <si>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</si>
  <si>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</si>
  <si>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</si>
  <si>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</si>
  <si>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</si>
  <si>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</si>
  <si>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</si>
  <si>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</si>
  <si>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</si>
  <si>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</si>
  <si>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</si>
  <si>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</si>
  <si>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</si>
  <si>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</si>
  <si>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</si>
  <si>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</si>
  <si>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</si>
  <si>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</si>
  <si>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</si>
  <si>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</si>
  <si>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</si>
  <si>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</si>
  <si>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</si>
  <si>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</si>
  <si>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</si>
  <si>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</si>
  <si>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</si>
  <si>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</si>
  <si>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</si>
  <si>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</si>
  <si>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</si>
  <si>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</si>
  <si>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</si>
  <si>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</si>
  <si>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</si>
  <si>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</si>
  <si>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</si>
  <si>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</si>
  <si>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</si>
  <si>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</si>
  <si>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</si>
  <si>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</si>
  <si>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</si>
  <si>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</si>
  <si>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</si>
  <si>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</si>
  <si>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</si>
  <si>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</si>
  <si>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</si>
  <si>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</si>
  <si>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</si>
  <si>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</si>
  <si>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</si>
  <si>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</si>
  <si>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</si>
  <si>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</si>
  <si>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</si>
  <si>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</si>
  <si>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</si>
  <si>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</si>
  <si>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</si>
  <si>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</si>
  <si>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</si>
  <si>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</si>
  <si>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</si>
  <si>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</si>
  <si>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</si>
  <si>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</si>
  <si>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</si>
  <si>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</si>
  <si>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</si>
  <si>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</si>
  <si>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</si>
  <si>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</si>
  <si>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</si>
  <si>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</si>
  <si>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</si>
  <si>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</si>
  <si>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</si>
  <si>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</si>
  <si>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</si>
  <si>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</si>
  <si>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</si>
  <si>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</si>
  <si>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</si>
  <si>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</si>
  <si>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</si>
  <si>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</si>
  <si>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</si>
  <si>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</si>
  <si>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</si>
  <si>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</si>
  <si>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</si>
  <si>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</si>
  <si>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</si>
  <si>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</si>
  <si>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</si>
  <si>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</si>
  <si>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</si>
  <si>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</si>
  <si>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</si>
  <si>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</si>
  <si>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</si>
  <si>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</si>
  <si>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</si>
  <si>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</si>
  <si>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</si>
  <si>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</si>
  <si>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</si>
  <si>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</si>
  <si>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</si>
  <si>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</si>
  <si>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</si>
  <si>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</si>
  <si>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</si>
  <si>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</si>
  <si>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</si>
  <si>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</si>
  <si>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</si>
  <si>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</si>
  <si>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</si>
  <si>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</si>
  <si>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</si>
  <si>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</si>
  <si>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</si>
  <si>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</si>
  <si>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</si>
  <si>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</si>
  <si>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</si>
  <si>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</si>
  <si>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</si>
  <si>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</si>
  <si>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</si>
  <si>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</si>
  <si>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</si>
  <si>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</si>
  <si>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</si>
  <si>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</si>
  <si>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</si>
  <si>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</si>
  <si>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</si>
  <si>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</si>
  <si>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</si>
  <si>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</si>
  <si>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</si>
  <si>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</si>
  <si>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</si>
  <si>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</si>
  <si>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</si>
  <si>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</si>
  <si>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</si>
  <si>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</si>
  <si>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</si>
  <si>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</si>
  <si>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</si>
  <si>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</si>
  <si>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</si>
  <si>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</si>
  <si>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</si>
  <si>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</si>
  <si>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</si>
  <si>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</si>
  <si>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</si>
  <si>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</si>
  <si>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</si>
  <si>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</si>
  <si>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</si>
  <si>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</si>
  <si>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</si>
  <si>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</si>
  <si>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</si>
  <si>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</si>
  <si>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</si>
  <si>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</si>
  <si>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</si>
  <si>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</si>
  <si>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</si>
  <si>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</si>
  <si>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</si>
  <si>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</si>
  <si>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</si>
  <si>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</si>
  <si>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</si>
  <si>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</si>
  <si>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</si>
  <si>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</si>
  <si>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</si>
  <si>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</si>
  <si>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</si>
  <si>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</si>
  <si>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</si>
  <si>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</si>
  <si>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</si>
  <si>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</si>
  <si>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</si>
  <si>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</si>
  <si>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</si>
  <si>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</si>
  <si>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</si>
  <si>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</si>
  <si>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</si>
  <si>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</si>
  <si>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</si>
  <si>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</si>
  <si>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</si>
  <si>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</si>
  <si>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</si>
  <si>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</si>
  <si>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</si>
  <si>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</si>
  <si>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</si>
  <si>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</si>
  <si>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</si>
  <si>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</si>
  <si>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</si>
  <si>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</si>
  <si>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</si>
  <si>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</si>
  <si>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</si>
  <si>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</si>
  <si>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</si>
  <si>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</si>
  <si>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</si>
  <si>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</si>
  <si>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</si>
  <si>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</si>
  <si>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</si>
  <si>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</si>
  <si>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</si>
  <si>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</si>
  <si>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</si>
  <si>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</si>
  <si>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</si>
  <si>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</si>
  <si>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</si>
  <si>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</si>
  <si>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</si>
  <si>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</si>
  <si>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</si>
  <si>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</si>
  <si>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</si>
  <si>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</si>
  <si>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</si>
  <si>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</si>
  <si>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</si>
  <si>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</si>
  <si>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</si>
  <si>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</si>
  <si>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</si>
  <si>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</si>
  <si>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</si>
  <si>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</si>
  <si>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</si>
  <si>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</si>
  <si>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</si>
  <si>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</si>
  <si>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</si>
  <si>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</si>
  <si>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</si>
  <si>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</si>
  <si>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</si>
  <si>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</si>
  <si>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</si>
  <si>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</si>
  <si>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</si>
  <si>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</si>
  <si>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</si>
  <si>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</si>
  <si>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</si>
  <si>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</si>
  <si>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</si>
  <si>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</si>
  <si>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</si>
  <si>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</si>
  <si>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</si>
  <si>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</si>
  <si>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</si>
  <si>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</si>
  <si>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</si>
  <si>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</si>
  <si>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</si>
  <si>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</si>
  <si>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</si>
  <si>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</si>
  <si>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</si>
  <si>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</si>
  <si>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</si>
  <si>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</si>
  <si>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</si>
  <si>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</si>
  <si>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</si>
  <si>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</si>
  <si>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</si>
  <si>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</si>
  <si>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</si>
  <si>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</si>
  <si>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</si>
  <si>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</si>
  <si>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</si>
  <si>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</si>
  <si>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</si>
  <si>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</si>
  <si>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</si>
  <si>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</si>
  <si>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</si>
  <si>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</si>
  <si>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</si>
  <si>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</si>
  <si>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</si>
  <si>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</si>
  <si>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</si>
  <si>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</si>
  <si>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</si>
  <si>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</si>
  <si>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</si>
  <si>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</si>
  <si>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</si>
  <si>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</si>
  <si>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</si>
  <si>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</si>
  <si>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</si>
  <si>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</si>
  <si>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</si>
  <si>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</si>
  <si>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</si>
  <si>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</si>
  <si>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</si>
  <si>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</si>
  <si>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</si>
  <si>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</si>
  <si>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</si>
  <si>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</si>
  <si>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</si>
  <si>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</si>
  <si>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</si>
  <si>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</si>
  <si>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</si>
  <si>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</si>
  <si>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</si>
  <si>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</si>
  <si>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</si>
  <si>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</si>
  <si>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</si>
  <si>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</si>
  <si>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</si>
  <si>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</si>
  <si>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</si>
  <si>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</si>
  <si>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</si>
  <si>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</si>
  <si>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</si>
  <si>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</si>
  <si>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</si>
  <si>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</si>
  <si>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</si>
  <si>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</si>
  <si>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</si>
  <si>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</si>
  <si>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</si>
  <si>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</si>
  <si>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</si>
  <si>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</si>
  <si>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</si>
  <si>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</si>
  <si>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</si>
  <si>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</si>
  <si>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</si>
  <si>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</si>
  <si>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</si>
  <si>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</si>
  <si>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</si>
  <si>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</si>
  <si>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</si>
  <si>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</si>
  <si>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</si>
  <si>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</si>
  <si>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</si>
  <si>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</si>
  <si>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</si>
  <si>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</si>
  <si>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</si>
  <si>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</si>
  <si>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</si>
  <si>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</si>
  <si>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</si>
  <si>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</si>
  <si>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</si>
  <si>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</si>
  <si>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</si>
  <si>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</si>
  <si>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</si>
  <si>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</si>
  <si>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</si>
  <si>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</si>
  <si>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</si>
  <si>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</si>
  <si>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</si>
  <si>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</si>
  <si>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</si>
  <si>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</si>
  <si>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</si>
  <si>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</si>
  <si>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</si>
  <si>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</si>
  <si>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</si>
  <si>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</si>
  <si>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</si>
  <si>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</si>
  <si>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</si>
  <si>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</si>
  <si>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</si>
  <si>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</si>
  <si>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</si>
  <si>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</si>
  <si>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</si>
  <si>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</si>
  <si>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</si>
  <si>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</si>
  <si>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</si>
  <si>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</si>
  <si>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</si>
  <si>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</si>
  <si>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</si>
  <si>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</si>
  <si>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</si>
  <si>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</si>
  <si>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</si>
  <si>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</si>
  <si>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</si>
  <si>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</si>
  <si>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</si>
  <si>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</si>
  <si>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</si>
  <si>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</si>
  <si>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</si>
  <si>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</si>
  <si>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</si>
  <si>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</si>
  <si>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</si>
  <si>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</si>
  <si>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</si>
  <si>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</si>
  <si>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</si>
  <si>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</si>
  <si>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</si>
  <si>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</si>
  <si>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</si>
  <si>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</si>
  <si>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</si>
  <si>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</si>
  <si>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</si>
  <si>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</si>
  <si>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</si>
  <si>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</si>
  <si>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</si>
  <si>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</si>
  <si>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</si>
  <si>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</si>
  <si>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</si>
  <si>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</si>
  <si>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</si>
  <si>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</si>
  <si>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</si>
  <si>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</si>
  <si>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</si>
  <si>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</si>
  <si>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</si>
  <si>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</si>
  <si>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</si>
  <si>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</si>
  <si>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</si>
  <si>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</si>
  <si>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</si>
  <si>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</si>
  <si>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</si>
  <si>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</si>
  <si>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</si>
  <si>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</si>
  <si>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</si>
  <si>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</si>
  <si>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</si>
  <si>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</si>
  <si>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</si>
  <si>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</si>
  <si>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</si>
  <si>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</si>
  <si>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</si>
  <si>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</si>
  <si>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</si>
  <si>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</si>
  <si>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</si>
  <si>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</si>
  <si>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</si>
  <si>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</si>
  <si>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</si>
  <si>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</si>
  <si>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</si>
  <si>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</si>
  <si>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</si>
  <si>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</si>
  <si>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</si>
  <si>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</si>
  <si>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</si>
  <si>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</si>
  <si>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</si>
  <si>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</si>
  <si>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</si>
  <si>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</si>
  <si>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</si>
  <si>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</si>
  <si>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</si>
  <si>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</si>
  <si>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</si>
  <si>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</si>
  <si>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</si>
  <si>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</si>
  <si>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</si>
  <si>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</si>
  <si>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</si>
  <si>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</si>
  <si>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</si>
  <si>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</si>
  <si>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</si>
  <si>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</si>
  <si>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</si>
  <si>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</si>
  <si>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</si>
  <si>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</si>
  <si>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</si>
  <si>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</si>
  <si>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</si>
  <si>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</si>
  <si>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</si>
  <si>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</si>
  <si>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</si>
  <si>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</si>
  <si>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</si>
  <si>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</si>
  <si>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</si>
  <si>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</si>
  <si>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</si>
  <si>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</si>
  <si>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</si>
  <si>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</si>
  <si>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</si>
  <si>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</si>
  <si>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</si>
  <si>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</si>
  <si>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</si>
  <si>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</si>
  <si>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</si>
  <si>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</si>
  <si>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</si>
  <si>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</si>
  <si>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</si>
  <si>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</si>
  <si>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</si>
  <si>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</si>
  <si>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</si>
  <si>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</si>
  <si>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</si>
  <si>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</si>
  <si>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</si>
  <si>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</si>
  <si>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</si>
  <si>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</si>
  <si>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</si>
  <si>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</si>
  <si>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</si>
  <si>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</si>
  <si>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</si>
  <si>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</si>
  <si>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</si>
  <si>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</si>
  <si>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</si>
  <si>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</si>
  <si>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</si>
  <si>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</si>
  <si>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</si>
  <si>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</si>
  <si>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</si>
  <si>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</si>
  <si>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</si>
  <si>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</si>
  <si>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</si>
  <si>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</si>
  <si>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</si>
  <si>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</si>
  <si>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</si>
  <si>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</si>
  <si>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</si>
  <si>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</si>
  <si>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</si>
  <si>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</si>
  <si>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</si>
  <si>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</si>
  <si>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</si>
  <si>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</si>
  <si>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</si>
  <si>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</si>
  <si>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</si>
  <si>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</si>
  <si>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</si>
  <si>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</si>
  <si>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</si>
  <si>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</si>
  <si>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</si>
  <si>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</si>
  <si>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</si>
  <si>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</si>
  <si>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</si>
  <si>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</si>
  <si>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</si>
  <si>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</si>
  <si>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</si>
  <si>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</si>
  <si>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</si>
  <si>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</si>
  <si>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</si>
  <si>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</si>
  <si>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</si>
  <si>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</si>
  <si>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</si>
  <si>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</si>
  <si>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</si>
  <si>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</si>
  <si>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</si>
  <si>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</si>
  <si>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</si>
  <si>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</si>
  <si>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</si>
  <si>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</si>
  <si>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</si>
  <si>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</si>
  <si>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</si>
  <si>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</si>
  <si>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</si>
  <si>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</si>
  <si>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</si>
  <si>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</si>
  <si>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</si>
  <si>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</si>
  <si>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</si>
  <si>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</si>
  <si>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</si>
  <si>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</si>
  <si>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</si>
  <si>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</si>
  <si>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</si>
  <si>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</si>
  <si>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</si>
  <si>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</si>
  <si>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</si>
  <si>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</si>
  <si>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</si>
  <si>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</si>
  <si>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</si>
  <si>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</si>
  <si>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</si>
  <si>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</si>
  <si>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</si>
  <si>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</si>
  <si>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</si>
  <si>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</si>
  <si>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</si>
  <si>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</si>
  <si>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</si>
  <si>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</si>
  <si>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</si>
  <si>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</si>
  <si>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</si>
  <si>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</si>
  <si>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</si>
  <si>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</si>
  <si>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</si>
  <si>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</si>
  <si>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</si>
  <si>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</si>
  <si>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</si>
  <si>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</si>
  <si>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</si>
  <si>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</si>
  <si>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</si>
  <si>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</si>
  <si>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</si>
  <si>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</si>
  <si>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</si>
  <si>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</si>
  <si>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</si>
  <si>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</si>
  <si>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</si>
  <si>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</si>
  <si>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</si>
  <si>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</si>
  <si>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</si>
  <si>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</si>
  <si>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</si>
  <si>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</si>
  <si>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</si>
  <si>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</si>
  <si>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</si>
  <si>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</si>
  <si>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</si>
  <si>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</si>
  <si>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</si>
  <si>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</si>
  <si>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</si>
  <si>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</si>
  <si>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</si>
  <si>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</si>
  <si>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</si>
  <si>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</si>
  <si>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</si>
  <si>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</si>
  <si>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</si>
  <si>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</si>
  <si>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</si>
  <si>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</si>
  <si>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</si>
  <si>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</si>
  <si>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</si>
  <si>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</si>
  <si>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</si>
  <si>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</si>
  <si>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</si>
  <si>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</si>
  <si>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</si>
  <si>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</si>
  <si>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</si>
  <si>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</si>
  <si>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</si>
  <si>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</si>
  <si>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</si>
  <si>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</si>
  <si>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</si>
  <si>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</si>
  <si>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</si>
  <si>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</si>
  <si>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</si>
  <si>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</si>
  <si>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</si>
  <si>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</si>
  <si>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</si>
  <si>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</si>
  <si>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</si>
  <si>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</si>
  <si>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</si>
  <si>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</si>
  <si>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</si>
  <si>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</si>
  <si>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</si>
  <si>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</si>
  <si>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</si>
  <si>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</si>
  <si>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</si>
  <si>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</si>
  <si>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</si>
  <si>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</si>
  <si>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</si>
  <si>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</si>
  <si>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</si>
  <si>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</si>
  <si>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</si>
  <si>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</si>
  <si>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</si>
  <si>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</si>
  <si>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</si>
  <si>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</si>
  <si>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</si>
  <si>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</si>
  <si>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</si>
  <si>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</si>
  <si>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</si>
  <si>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</si>
  <si>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</si>
  <si>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</si>
  <si>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</si>
  <si>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</si>
  <si>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</si>
  <si>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</si>
  <si>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</si>
  <si>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</si>
  <si>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</si>
  <si>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</si>
  <si>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</si>
  <si>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</si>
  <si>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</si>
  <si>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</si>
  <si>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</si>
  <si>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</si>
  <si>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</si>
  <si>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</si>
  <si>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</si>
  <si>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</si>
  <si>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</si>
  <si>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</si>
  <si>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</si>
  <si>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</si>
  <si>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</si>
  <si>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</si>
  <si>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</si>
  <si>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</si>
  <si>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</si>
  <si>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</si>
  <si>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</si>
  <si>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</si>
  <si>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</si>
  <si>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</si>
  <si>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</si>
  <si>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</si>
  <si>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</si>
  <si>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</si>
  <si>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</si>
  <si>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</si>
  <si>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</si>
  <si>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</si>
  <si>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</si>
  <si>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</si>
  <si>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</si>
  <si>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</si>
  <si>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</si>
  <si>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</si>
  <si>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</si>
  <si>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</si>
  <si>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</si>
  <si>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</si>
  <si>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</si>
  <si>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</si>
  <si>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</si>
  <si>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</si>
  <si>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</si>
  <si>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</si>
  <si>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</si>
  <si>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</si>
  <si>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</si>
  <si>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</si>
  <si>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</si>
  <si>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</si>
  <si>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</si>
  <si>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</si>
  <si>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</si>
  <si>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</si>
  <si>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</si>
  <si>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</si>
  <si>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</si>
  <si>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</si>
  <si>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</si>
  <si>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</si>
  <si>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</si>
  <si>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</si>
  <si>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</si>
  <si>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</si>
  <si>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</si>
  <si>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</si>
  <si>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</si>
  <si>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</si>
  <si>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</si>
  <si>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</si>
  <si>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</si>
  <si>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</si>
  <si>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</si>
  <si>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</si>
  <si>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</si>
  <si>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</si>
  <si>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</si>
  <si>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</si>
  <si>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</si>
  <si>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</si>
  <si>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</si>
  <si>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</si>
  <si>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</si>
  <si>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</si>
  <si>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</si>
  <si>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</si>
  <si>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</si>
  <si>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</si>
  <si>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</si>
  <si>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</si>
  <si>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</si>
  <si>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</si>
  <si>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</si>
  <si>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</si>
  <si>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</si>
  <si>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</si>
  <si>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</si>
  <si>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</si>
  <si>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</si>
  <si>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</si>
  <si>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</si>
  <si>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</si>
  <si>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</si>
  <si>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</si>
  <si>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</si>
  <si>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</si>
  <si>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</si>
  <si>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</si>
  <si>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</si>
  <si>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</si>
  <si>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</si>
  <si>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</si>
  <si>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</si>
  <si>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</si>
  <si>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</si>
  <si>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</si>
  <si>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</si>
  <si>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</si>
  <si>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</si>
  <si>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</si>
  <si>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</si>
  <si>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</si>
  <si>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</si>
  <si>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</si>
  <si>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</si>
  <si>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</si>
  <si>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</si>
  <si>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</si>
  <si>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</si>
  <si>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</si>
  <si>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</si>
  <si>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</si>
  <si>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</si>
  <si>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</si>
  <si>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</si>
  <si>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</si>
  <si>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</si>
  <si>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</si>
  <si>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</si>
  <si>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</si>
  <si>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</si>
  <si>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</si>
  <si>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</si>
  <si>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</si>
  <si>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</si>
  <si>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</si>
  <si>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</si>
  <si>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</si>
  <si>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</si>
  <si>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</si>
  <si>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</si>
  <si>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</si>
  <si>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</si>
  <si>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</si>
  <si>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</si>
  <si>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</si>
  <si>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</si>
  <si>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</si>
  <si>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</si>
  <si>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</si>
  <si>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</si>
  <si>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</si>
  <si>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</si>
  <si>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</si>
  <si>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</si>
  <si>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</si>
  <si>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</si>
  <si>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</si>
  <si>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</si>
  <si>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</si>
  <si>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</si>
  <si>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</si>
  <si>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</si>
  <si>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</si>
  <si>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</si>
  <si>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</si>
  <si>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</si>
  <si>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</si>
  <si>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</si>
  <si>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</si>
  <si>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</si>
  <si>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</si>
  <si>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</si>
  <si>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</si>
  <si>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</si>
  <si>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</si>
  <si>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</si>
  <si>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</si>
  <si>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</si>
  <si>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</si>
  <si>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</si>
  <si>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</si>
  <si>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</si>
  <si>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</si>
  <si>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</si>
  <si>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</si>
  <si>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</si>
  <si>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</si>
  <si>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</si>
  <si>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</si>
  <si>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</si>
  <si>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</si>
  <si>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</si>
  <si>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</si>
  <si>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</si>
  <si>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</si>
  <si>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</si>
  <si>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</si>
  <si>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</si>
  <si>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</si>
  <si>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</si>
  <si>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</si>
  <si>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</si>
  <si>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</si>
  <si>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</si>
  <si>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</si>
  <si>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</si>
  <si>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</si>
  <si>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</si>
  <si>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</si>
  <si>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</si>
  <si>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</si>
  <si>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</si>
  <si>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</si>
  <si>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</si>
  <si>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</si>
  <si>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</si>
  <si>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</si>
  <si>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</si>
  <si>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</si>
  <si>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</si>
  <si>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</si>
  <si>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</si>
  <si>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</si>
  <si>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</si>
  <si>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</si>
  <si>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</si>
  <si>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</si>
  <si>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</si>
  <si>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</si>
  <si>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</si>
  <si>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</si>
  <si>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</si>
  <si>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</si>
  <si>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</si>
  <si>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</si>
  <si>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</si>
  <si>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</si>
  <si>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</si>
  <si>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</si>
  <si>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</si>
  <si>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</si>
  <si>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</si>
  <si>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</si>
  <si>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</si>
  <si>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</si>
  <si>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</si>
  <si>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</si>
  <si>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</si>
  <si>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</si>
  <si>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</si>
  <si>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</si>
  <si>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</si>
  <si>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</si>
  <si>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</si>
  <si>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</si>
  <si>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</si>
  <si>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</si>
  <si>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</si>
  <si>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</si>
  <si>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</si>
  <si>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</si>
  <si>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</si>
  <si>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</si>
  <si>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</si>
  <si>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</si>
  <si>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</si>
  <si>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</si>
  <si>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</si>
  <si>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</si>
  <si>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</si>
  <si>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</si>
  <si>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</si>
  <si>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</si>
  <si>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</si>
  <si>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</si>
  <si>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</si>
  <si>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</si>
  <si>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</si>
  <si>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</si>
  <si>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</si>
  <si>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</si>
  <si>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</si>
  <si>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</si>
  <si>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</si>
  <si>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</si>
  <si>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</si>
  <si>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</si>
  <si>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</si>
  <si>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</si>
  <si>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</si>
  <si>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</si>
  <si>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</si>
  <si>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</si>
  <si>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</si>
  <si>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</si>
  <si>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</si>
  <si>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</si>
  <si>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</si>
  <si>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</si>
  <si>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</si>
  <si>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</si>
  <si>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</si>
  <si>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</si>
  <si>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</si>
  <si>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</si>
  <si>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</si>
  <si>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</si>
  <si>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</si>
  <si>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</si>
  <si>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</si>
  <si>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</si>
  <si>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</si>
  <si>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</si>
  <si>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</si>
  <si>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</si>
  <si>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</si>
  <si>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</si>
  <si>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</si>
  <si>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</si>
  <si>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</si>
  <si>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</si>
  <si>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</si>
  <si>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</si>
  <si>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</si>
  <si>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</si>
  <si>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</si>
  <si>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</si>
  <si>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</si>
  <si>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</si>
  <si>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</si>
  <si>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</si>
  <si>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</si>
  <si>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</si>
  <si>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</si>
  <si>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</si>
  <si>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</si>
  <si>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</si>
  <si>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</si>
  <si>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</si>
  <si>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</si>
  <si>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</si>
  <si>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</si>
  <si>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</si>
  <si>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</si>
  <si>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</si>
  <si>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</si>
  <si>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</si>
  <si>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</si>
  <si>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</si>
  <si>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</si>
  <si>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</si>
  <si>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</si>
  <si>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</si>
  <si>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</si>
  <si>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</si>
  <si>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</si>
  <si>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</si>
  <si>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</si>
  <si>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</si>
  <si>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</si>
  <si>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</si>
  <si>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</si>
  <si>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</si>
  <si>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</si>
  <si>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</si>
  <si>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</si>
  <si>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</si>
  <si>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</si>
  <si>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</si>
  <si>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</si>
  <si>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</si>
  <si>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</si>
  <si>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</si>
  <si>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</si>
  <si>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</si>
  <si>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</si>
  <si>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</si>
  <si>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</si>
  <si>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</si>
  <si>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</si>
  <si>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</si>
  <si>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</si>
  <si>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</si>
  <si>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</si>
  <si>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</si>
  <si>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</si>
  <si>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</si>
  <si>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</si>
  <si>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</si>
  <si>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</si>
  <si>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</si>
  <si>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</si>
  <si>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</si>
  <si>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</si>
  <si>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</si>
  <si>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</si>
  <si>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</si>
  <si>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</si>
  <si>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</si>
  <si>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</si>
  <si>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</si>
  <si>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</si>
  <si>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</si>
  <si>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</si>
  <si>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</si>
  <si>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</si>
  <si>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</si>
  <si>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</si>
  <si>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</si>
  <si>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</si>
  <si>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</si>
  <si>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</si>
  <si>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</si>
  <si>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</si>
  <si>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</si>
  <si>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</si>
  <si>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</si>
  <si>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</si>
  <si>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</si>
  <si>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</si>
  <si>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</si>
  <si>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</si>
  <si>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</si>
  <si>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</si>
  <si>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</si>
  <si>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</si>
  <si>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</si>
  <si>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</si>
  <si>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</si>
  <si>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</si>
  <si>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</si>
  <si>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</si>
  <si>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</si>
  <si>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</si>
  <si>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</si>
  <si>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</si>
  <si>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</si>
  <si>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</si>
  <si>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</si>
  <si>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</si>
  <si>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</si>
  <si>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</si>
  <si>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</si>
  <si>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</si>
  <si>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</si>
  <si>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</si>
  <si>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</si>
  <si>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</si>
  <si>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</si>
  <si>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</si>
  <si>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</si>
  <si>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</si>
  <si>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</si>
  <si>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</si>
  <si>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</si>
  <si>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</si>
  <si>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</si>
  <si>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</si>
  <si>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</si>
  <si>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</si>
  <si>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</si>
  <si>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</si>
  <si>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</si>
  <si>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</si>
  <si>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</si>
  <si>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</si>
  <si>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</si>
  <si>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</si>
  <si>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</si>
  <si>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</si>
  <si>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</si>
  <si>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</si>
  <si>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</si>
  <si>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</si>
  <si>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</si>
  <si>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</si>
  <si>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</si>
  <si>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</si>
  <si>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</si>
  <si>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</si>
  <si>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</si>
  <si>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</si>
  <si>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</si>
  <si>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</si>
  <si>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</si>
  <si>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</si>
  <si>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</si>
  <si>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</si>
  <si>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</si>
  <si>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</si>
  <si>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</si>
  <si>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</si>
  <si>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</si>
  <si>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</si>
  <si>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</si>
  <si>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</si>
  <si>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</si>
  <si>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</si>
  <si>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</si>
  <si>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</si>
  <si>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</si>
  <si>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</si>
  <si>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</si>
  <si>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</si>
  <si>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</si>
  <si>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</si>
  <si>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</si>
  <si>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</si>
  <si>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</si>
  <si>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</si>
  <si>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</si>
  <si>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</si>
  <si>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</si>
  <si>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</si>
  <si>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</si>
  <si>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</si>
  <si>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</si>
  <si>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</si>
  <si>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</si>
  <si>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</si>
  <si>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</si>
  <si>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</si>
  <si>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</si>
  <si>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</si>
  <si>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</si>
  <si>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</si>
  <si>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</si>
  <si>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</si>
  <si>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</si>
  <si>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</si>
  <si>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</si>
  <si>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</si>
  <si>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</si>
  <si>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</si>
  <si>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</si>
  <si>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</si>
  <si>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</si>
  <si>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</si>
  <si>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</si>
  <si>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</si>
  <si>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</si>
  <si>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</si>
  <si>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</si>
  <si>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</si>
  <si>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</si>
  <si>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</si>
  <si>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</si>
  <si>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</si>
  <si>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</si>
  <si>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</si>
  <si>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</si>
  <si>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</si>
  <si>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</si>
  <si>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</si>
  <si>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</si>
  <si>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</si>
  <si>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</si>
  <si>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</si>
  <si>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</si>
  <si>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</si>
  <si>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</si>
  <si>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</si>
  <si>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</si>
  <si>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</si>
  <si>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</si>
  <si>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</si>
  <si>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</si>
  <si>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</si>
  <si>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</si>
  <si>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</si>
  <si>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</si>
  <si>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</si>
  <si>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</si>
  <si>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</si>
  <si>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</si>
  <si>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</si>
  <si>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</si>
  <si>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</si>
  <si>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</si>
  <si>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</si>
  <si>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</si>
  <si>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</si>
  <si>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</si>
  <si>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</si>
  <si>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</si>
  <si>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</si>
  <si>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</si>
  <si>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</si>
  <si>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</si>
  <si>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</si>
  <si>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</si>
  <si>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</si>
  <si>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</si>
  <si>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</si>
  <si>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</si>
  <si>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</si>
  <si>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</si>
  <si>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</si>
  <si>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</si>
  <si>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</si>
  <si>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</si>
  <si>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</si>
  <si>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</si>
  <si>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</si>
  <si>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</si>
  <si>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</si>
  <si>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</si>
  <si>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</si>
  <si>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</si>
  <si>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</si>
  <si>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</si>
  <si>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</si>
  <si>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</si>
  <si>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</si>
  <si>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</si>
  <si>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</si>
  <si>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</si>
  <si>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</si>
  <si>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</si>
  <si>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</si>
  <si>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</si>
  <si>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</si>
  <si>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</si>
  <si>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</si>
  <si>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</si>
  <si>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</si>
  <si>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</si>
  <si>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</si>
  <si>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</si>
  <si>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</si>
  <si>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</si>
  <si>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</si>
  <si>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</si>
  <si>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</si>
  <si>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</si>
  <si>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</si>
  <si>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</si>
  <si>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</si>
  <si>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</si>
  <si>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</si>
  <si>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</si>
  <si>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</si>
  <si>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</si>
  <si>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</si>
  <si>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</si>
  <si>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</si>
  <si>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</si>
  <si>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</si>
  <si>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</si>
  <si>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</si>
  <si>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</si>
  <si>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</si>
  <si>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</si>
  <si>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</si>
  <si>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</si>
  <si>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</si>
  <si>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</si>
  <si>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</si>
  <si>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</si>
  <si>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</si>
  <si>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</si>
  <si>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</si>
  <si>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</si>
  <si>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</si>
  <si>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</si>
  <si>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</si>
  <si>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</si>
  <si>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</si>
  <si>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</si>
  <si>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</si>
  <si>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</si>
  <si>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</si>
  <si>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</si>
  <si>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</si>
  <si>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</si>
  <si>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</si>
  <si>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</si>
  <si>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</si>
  <si>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</si>
  <si>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</si>
  <si>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</si>
  <si>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</si>
  <si>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</si>
  <si>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</si>
  <si>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</si>
  <si>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</si>
  <si>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</si>
  <si>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</si>
  <si>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</si>
  <si>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</si>
  <si>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</si>
  <si>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</si>
  <si>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</si>
  <si>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</si>
  <si>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</si>
  <si>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</si>
  <si>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</si>
  <si>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</si>
  <si>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</si>
  <si>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</si>
  <si>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</si>
  <si>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</si>
  <si>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</si>
  <si>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</si>
  <si>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</si>
  <si>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</si>
  <si>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</si>
  <si>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</si>
  <si>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</si>
  <si>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</si>
  <si>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</si>
  <si>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</si>
  <si>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</si>
  <si>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</si>
  <si>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</si>
  <si>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</si>
  <si>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</si>
  <si>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</si>
  <si>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</si>
  <si>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</si>
  <si>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</si>
  <si>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</si>
  <si>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</si>
  <si>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</si>
  <si>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</si>
  <si>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</si>
  <si>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</si>
  <si>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</si>
  <si>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</si>
  <si>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</si>
  <si>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</si>
  <si>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</si>
  <si>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</si>
  <si>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</si>
  <si>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</si>
  <si>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</si>
  <si>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</si>
  <si>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</si>
  <si>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</si>
  <si>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</si>
  <si>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</si>
  <si>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</si>
  <si>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</si>
  <si>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</si>
  <si>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</si>
  <si>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</si>
  <si>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</si>
  <si>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</si>
  <si>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</si>
  <si>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</si>
  <si>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</si>
  <si>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</si>
  <si>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</si>
  <si>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</si>
  <si>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</si>
  <si>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</si>
  <si>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</si>
  <si>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</si>
  <si>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</si>
  <si>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</si>
  <si>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</si>
  <si>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</si>
  <si>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</si>
  <si>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</si>
  <si>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</si>
  <si>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</si>
  <si>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</si>
  <si>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</si>
  <si>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</si>
  <si>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</si>
  <si>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</si>
  <si>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</si>
  <si>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</si>
  <si>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</si>
  <si>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</si>
  <si>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</si>
  <si>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</si>
  <si>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</si>
  <si>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</si>
  <si>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</si>
  <si>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</si>
  <si>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</si>
  <si>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</si>
  <si>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</si>
  <si>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</si>
  <si>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</si>
  <si>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</si>
  <si>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</si>
  <si>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</si>
  <si>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</si>
  <si>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</si>
  <si>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</si>
  <si>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</si>
  <si>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</si>
  <si>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</si>
  <si>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</si>
  <si>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</si>
  <si>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</si>
  <si>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</si>
  <si>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</si>
  <si>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</si>
  <si>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</si>
  <si>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</si>
  <si>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</si>
  <si>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</si>
  <si>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</si>
  <si>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</si>
  <si>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</si>
  <si>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</si>
  <si>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</si>
  <si>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</si>
  <si>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</si>
  <si>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</si>
  <si>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</si>
  <si>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</si>
  <si>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</si>
  <si>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</si>
  <si>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</si>
  <si>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</si>
  <si>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</si>
  <si>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</si>
  <si>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</si>
  <si>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</si>
  <si>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</si>
  <si>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</si>
  <si>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</si>
  <si>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</si>
  <si>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</si>
  <si>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</si>
  <si>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</si>
  <si>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</si>
  <si>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</si>
  <si>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</si>
  <si>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</si>
  <si>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</si>
  <si>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</si>
  <si>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</si>
  <si>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</si>
  <si>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</si>
  <si>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</si>
  <si>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</si>
  <si>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</si>
  <si>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</si>
  <si>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</si>
  <si>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</si>
  <si>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</si>
  <si>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</si>
  <si>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</si>
  <si>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</si>
  <si>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</si>
  <si>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</si>
  <si>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</si>
  <si>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</si>
  <si>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</si>
  <si>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</si>
  <si>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</si>
  <si>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</si>
  <si>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</si>
  <si>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</si>
  <si>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</si>
  <si>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</si>
  <si>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</si>
  <si>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</si>
  <si>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</si>
  <si>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</si>
  <si>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</si>
  <si>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</si>
  <si>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</si>
  <si>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</si>
  <si>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</si>
  <si>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</si>
  <si>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</si>
  <si>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</si>
  <si>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</si>
  <si>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</si>
  <si>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</si>
  <si>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</si>
  <si>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</si>
  <si>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</si>
  <si>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</si>
  <si>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</si>
  <si>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</si>
  <si>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</si>
  <si>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</si>
  <si>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</si>
  <si>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</si>
  <si>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</si>
  <si>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</si>
  <si>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</si>
  <si>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</si>
  <si>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</si>
  <si>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</si>
  <si>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</si>
  <si>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</si>
  <si>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</si>
  <si>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</si>
  <si>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</si>
  <si>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</si>
  <si>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</si>
  <si>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</si>
  <si>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</si>
  <si>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</si>
  <si>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</si>
  <si>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</si>
  <si>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</si>
  <si>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</si>
  <si>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</si>
  <si>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</si>
  <si>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</si>
  <si>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</si>
  <si>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</si>
  <si>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</si>
  <si>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</si>
  <si>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</si>
  <si>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</si>
  <si>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</si>
  <si>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</si>
  <si>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</si>
  <si>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</si>
  <si>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</si>
  <si>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</si>
  <si>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</si>
  <si>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</si>
  <si>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</si>
  <si>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</si>
  <si>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</si>
  <si>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</si>
  <si>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</si>
  <si>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</si>
  <si>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</si>
  <si>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</si>
  <si>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</si>
  <si>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</si>
  <si>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</si>
  <si>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</si>
  <si>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</si>
  <si>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</si>
  <si>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</si>
  <si>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</si>
  <si>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</si>
  <si>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</si>
  <si>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</si>
  <si>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</si>
  <si>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</si>
  <si>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</si>
  <si>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</si>
  <si>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</si>
  <si>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</si>
  <si>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</si>
  <si>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</si>
  <si>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</si>
  <si>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</si>
  <si>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</si>
  <si>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</si>
  <si>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</si>
  <si>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</si>
  <si>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</si>
  <si>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</si>
  <si>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</si>
  <si>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</si>
  <si>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</si>
  <si>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</si>
  <si>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</si>
  <si>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</si>
  <si>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</si>
  <si>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</si>
  <si>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</si>
  <si>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</si>
  <si>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</si>
  <si>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</si>
  <si>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</si>
  <si>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</si>
  <si>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</si>
  <si>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</si>
  <si>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</si>
  <si>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</si>
  <si>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</si>
  <si>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</si>
  <si>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</si>
  <si>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</si>
  <si>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</si>
  <si>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</si>
  <si>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</si>
  <si>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</si>
  <si>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</si>
  <si>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</si>
  <si>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</si>
  <si>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</si>
  <si>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</si>
  <si>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</si>
  <si>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</si>
  <si>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</si>
  <si>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</si>
  <si>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</si>
  <si>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</si>
  <si>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</si>
  <si>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</si>
  <si>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</si>
  <si>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</si>
  <si>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</si>
  <si>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</si>
  <si>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</si>
  <si>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</si>
  <si>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</si>
  <si>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</si>
  <si>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</si>
  <si>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</si>
  <si>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</si>
  <si>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</si>
  <si>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</si>
  <si>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</si>
  <si>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</si>
  <si>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</si>
  <si>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</si>
  <si>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</si>
  <si>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</si>
  <si>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</si>
  <si>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</si>
  <si>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</si>
  <si>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</si>
  <si>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</si>
  <si>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</si>
  <si>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</si>
  <si>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</si>
  <si>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</si>
  <si>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</si>
  <si>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</si>
  <si>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</si>
  <si>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</si>
  <si>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</si>
  <si>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</si>
  <si>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</si>
  <si>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</si>
  <si>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</si>
  <si>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</si>
  <si>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</si>
  <si>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</si>
  <si>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</si>
  <si>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</si>
  <si>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</si>
  <si>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</si>
  <si>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</si>
  <si>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</si>
  <si>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</si>
  <si>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</si>
  <si>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</si>
  <si>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</si>
  <si>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</si>
  <si>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</si>
  <si>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</si>
  <si>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</si>
  <si>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</si>
  <si>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</si>
  <si>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</si>
  <si>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</si>
  <si>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</si>
  <si>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</si>
  <si>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</si>
  <si>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</si>
  <si>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</si>
  <si>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</si>
  <si>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</si>
  <si>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</si>
  <si>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</si>
  <si>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</si>
  <si>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</si>
  <si>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</si>
  <si>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</si>
  <si>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</si>
  <si>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</si>
  <si>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</si>
  <si>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</si>
  <si>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</si>
  <si>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</si>
  <si>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</si>
  <si>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</si>
  <si>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</si>
  <si>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</si>
  <si>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</si>
  <si>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</si>
  <si>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</si>
  <si>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</si>
  <si>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</si>
  <si>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</si>
  <si>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</si>
  <si>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</si>
  <si>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</si>
  <si>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</si>
  <si>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</si>
  <si>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</si>
  <si>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</si>
  <si>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</si>
  <si>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</si>
  <si>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</si>
  <si>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</si>
  <si>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</si>
  <si>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</si>
  <si>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</si>
  <si>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</si>
  <si>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</si>
  <si>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</si>
  <si>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</si>
  <si>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</si>
  <si>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</si>
  <si>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</si>
  <si>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</si>
  <si>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</si>
  <si>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</si>
  <si>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</si>
  <si>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</si>
  <si>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</si>
  <si>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</si>
  <si>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</si>
  <si>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</si>
  <si>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</si>
  <si>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</si>
  <si>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</si>
  <si>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</si>
  <si>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</si>
  <si>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</si>
  <si>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</si>
  <si>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</si>
  <si>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</si>
  <si>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</si>
  <si>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</si>
  <si>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</si>
  <si>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</si>
  <si>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</si>
  <si>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</si>
  <si>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</si>
  <si>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</si>
  <si>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</si>
  <si>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</si>
  <si>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</si>
  <si>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</si>
  <si>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</si>
  <si>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</si>
  <si>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</si>
  <si>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</si>
  <si>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</si>
  <si>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</si>
  <si>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</si>
  <si>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</si>
  <si>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</si>
  <si>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</si>
  <si>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</si>
  <si>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</si>
  <si>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</si>
  <si>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</si>
  <si>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</si>
  <si>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</si>
  <si>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</si>
  <si>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</si>
  <si>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</si>
  <si>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</si>
  <si>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</si>
  <si>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</si>
  <si>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</si>
  <si>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</si>
  <si>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</si>
  <si>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</si>
  <si>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</si>
  <si>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</si>
  <si>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</si>
  <si>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</si>
  <si>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</si>
  <si>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</si>
  <si>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</si>
  <si>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</si>
  <si>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</si>
  <si>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</si>
  <si>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</si>
  <si>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</si>
  <si>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</si>
  <si>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</si>
  <si>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</si>
  <si>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</si>
  <si>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</si>
  <si>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</si>
  <si>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</si>
  <si>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</si>
  <si>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</si>
  <si>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</si>
  <si>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</si>
  <si>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</si>
  <si>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</si>
  <si>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</si>
  <si>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</si>
  <si>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</si>
  <si>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</si>
  <si>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</si>
  <si>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</si>
  <si>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</si>
  <si>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</si>
  <si>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</si>
  <si>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</si>
  <si>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</si>
  <si>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</si>
  <si>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</si>
  <si>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</si>
  <si>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</si>
  <si>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</si>
  <si>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</si>
  <si>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</si>
  <si>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</si>
  <si>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</si>
  <si>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</si>
  <si>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</si>
  <si>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</si>
  <si>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</si>
  <si>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</si>
  <si>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</si>
  <si>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</si>
  <si>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</si>
  <si>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</si>
  <si>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</si>
  <si>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</si>
  <si>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</si>
  <si>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</si>
  <si>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</si>
  <si>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</si>
  <si>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</si>
  <si>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</si>
  <si>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</si>
  <si>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</si>
  <si>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</si>
  <si>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</si>
  <si>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</si>
  <si>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</si>
  <si>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</si>
  <si>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</si>
  <si>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</si>
  <si>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</si>
  <si>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</si>
  <si>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</si>
  <si>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</si>
  <si>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</si>
  <si>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</si>
  <si>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</si>
  <si>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</si>
  <si>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</si>
  <si>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</si>
  <si>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</si>
  <si>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</si>
  <si>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</si>
  <si>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</si>
  <si>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</si>
  <si>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</si>
  <si>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</si>
  <si>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</si>
  <si>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</si>
  <si>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</si>
  <si>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</si>
  <si>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</si>
  <si>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</si>
  <si>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</si>
  <si>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</si>
  <si>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</si>
  <si>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</si>
  <si>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</si>
  <si>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</si>
  <si>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</si>
  <si>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</si>
  <si>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</si>
  <si>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</si>
  <si>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</si>
  <si>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</si>
  <si>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</si>
  <si>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</si>
  <si>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</si>
  <si>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</si>
  <si>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</si>
  <si>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</si>
  <si>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</si>
  <si>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</si>
  <si>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</si>
  <si>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</si>
  <si>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</si>
  <si>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</si>
  <si>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</si>
  <si>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</si>
  <si>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</si>
  <si>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</si>
  <si>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</si>
  <si>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</si>
  <si>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</si>
  <si>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</si>
  <si>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</si>
  <si>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</si>
  <si>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</si>
  <si>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</si>
  <si>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</si>
  <si>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</si>
  <si>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</si>
  <si>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</si>
  <si>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</si>
  <si>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</si>
  <si>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</si>
  <si>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</si>
  <si>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</si>
  <si>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</si>
  <si>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</si>
  <si>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</si>
  <si>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</si>
  <si>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</si>
  <si>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</si>
  <si>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</si>
  <si>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</si>
  <si>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</si>
  <si>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</si>
  <si>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</si>
  <si>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</si>
  <si>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</si>
  <si>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</si>
  <si>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</si>
  <si>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</si>
  <si>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</si>
  <si>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</si>
  <si>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</si>
  <si>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</si>
  <si>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</si>
  <si>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</si>
  <si>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</si>
  <si>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</si>
  <si>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</si>
  <si>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</si>
  <si>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</si>
  <si>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</si>
  <si>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</si>
  <si>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</si>
  <si>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</si>
  <si>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</si>
  <si>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</si>
  <si>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</si>
  <si>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</si>
  <si>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</si>
  <si>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</si>
  <si>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</si>
  <si>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</si>
  <si>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</si>
  <si>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</si>
  <si>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</si>
  <si>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</si>
  <si>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</si>
  <si>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</si>
  <si>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</si>
  <si>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</si>
  <si>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</si>
  <si>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</si>
  <si>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</si>
  <si>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</si>
  <si>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</si>
  <si>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</si>
  <si>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</si>
  <si>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</si>
  <si>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</si>
  <si>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</si>
  <si>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</si>
  <si>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</si>
  <si>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</si>
  <si>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</si>
  <si>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</si>
  <si>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</si>
  <si>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</si>
  <si>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</si>
  <si>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</si>
  <si>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</si>
  <si>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</si>
  <si>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</si>
  <si>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</si>
  <si>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</si>
  <si>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</si>
  <si>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</si>
  <si>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</si>
  <si>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</si>
  <si>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</si>
  <si>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</si>
  <si>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</si>
  <si>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</si>
  <si>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</si>
  <si>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</si>
  <si>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</si>
  <si>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</si>
  <si>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</si>
  <si>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</si>
  <si>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</si>
  <si>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</si>
  <si>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</si>
  <si>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</si>
  <si>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</si>
  <si>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</si>
  <si>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</si>
  <si>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</si>
  <si>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</si>
  <si>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</si>
  <si>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</si>
  <si>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</si>
  <si>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</si>
  <si>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</si>
  <si>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</si>
  <si>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</si>
  <si>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</si>
  <si>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</si>
  <si>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</si>
  <si>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</si>
  <si>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</si>
  <si>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</si>
  <si>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</si>
  <si>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</si>
  <si>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</si>
  <si>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</si>
  <si>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</si>
  <si>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</si>
  <si>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</si>
  <si>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</si>
  <si>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</si>
  <si>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</si>
  <si>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</si>
  <si>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</si>
  <si>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</si>
  <si>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</si>
  <si>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</si>
  <si>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</si>
  <si>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</si>
  <si>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</si>
  <si>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</si>
  <si>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</si>
  <si>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</si>
  <si>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</si>
  <si>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</si>
  <si>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</si>
  <si>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</si>
  <si>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</si>
  <si>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</si>
  <si>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</si>
  <si>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</si>
  <si>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</si>
  <si>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</si>
  <si>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</si>
  <si>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</si>
  <si>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</si>
  <si>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</si>
  <si>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</si>
  <si>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</si>
  <si>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</si>
  <si>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</si>
  <si>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</si>
  <si>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</si>
  <si>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</si>
  <si>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</si>
  <si>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</si>
  <si>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</si>
  <si>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</si>
  <si>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</si>
  <si>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</si>
  <si>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</si>
  <si>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</si>
  <si>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</si>
  <si>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</si>
  <si>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</si>
  <si>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</si>
  <si>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</si>
  <si>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</si>
  <si>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</si>
  <si>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</si>
  <si>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</si>
  <si>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</si>
  <si>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</si>
  <si>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</si>
  <si>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</si>
  <si>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</si>
  <si>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</si>
  <si>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</si>
  <si>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</si>
  <si>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</si>
  <si>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</si>
  <si>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</si>
  <si>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</si>
  <si>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</si>
  <si>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</si>
  <si>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</si>
  <si>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</si>
  <si>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</si>
  <si>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</si>
  <si>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</si>
  <si>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</si>
  <si>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</si>
  <si>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</si>
  <si>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</si>
  <si>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</si>
  <si>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</si>
  <si>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</si>
  <si>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</si>
  <si>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</si>
  <si>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</si>
  <si>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</si>
  <si>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</si>
  <si>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</si>
  <si>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</si>
  <si>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</si>
  <si>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</si>
  <si>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</si>
  <si>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</si>
  <si>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</si>
  <si>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</si>
  <si>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</si>
  <si>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</si>
  <si>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</si>
  <si>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</si>
  <si>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</si>
  <si>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</si>
  <si>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</si>
  <si>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</si>
  <si>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</si>
  <si>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</si>
  <si>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</si>
  <si>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</si>
  <si>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</si>
  <si>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</si>
  <si>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</si>
  <si>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</si>
  <si>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</si>
  <si>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</si>
  <si>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</si>
  <si>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</si>
  <si>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</si>
  <si>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</si>
  <si>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</si>
  <si>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</si>
  <si>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</si>
  <si>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</si>
  <si>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</si>
  <si>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</si>
  <si>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</si>
  <si>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</si>
  <si>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</si>
  <si>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</si>
  <si>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</si>
  <si>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</si>
  <si>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</si>
  <si>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</si>
  <si>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</si>
  <si>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</si>
  <si>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</si>
  <si>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</si>
  <si>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</si>
  <si>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</si>
  <si>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</si>
  <si>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</si>
  <si>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</si>
  <si>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</si>
  <si>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</si>
  <si>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</si>
  <si>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</si>
  <si>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</si>
  <si>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</si>
  <si>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</si>
  <si>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</si>
  <si>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</si>
  <si>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</si>
  <si>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</si>
  <si>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</si>
  <si>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</si>
  <si>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</si>
  <si>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</si>
  <si>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</si>
  <si>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</si>
  <si>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</si>
  <si>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</si>
  <si>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</si>
  <si>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</si>
  <si>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</si>
  <si>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</si>
  <si>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</si>
  <si>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</si>
  <si>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</si>
  <si>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</si>
  <si>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</si>
  <si>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</si>
  <si>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</si>
  <si>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</si>
  <si>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</si>
  <si>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</si>
  <si>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</si>
  <si>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</si>
  <si>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</si>
  <si>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</si>
  <si>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</si>
  <si>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</si>
  <si>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</si>
  <si>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</si>
  <si>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</si>
  <si>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</si>
  <si>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</si>
  <si>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</si>
  <si>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</si>
  <si>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</si>
  <si>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</si>
  <si>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</si>
  <si>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</si>
  <si>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</si>
  <si>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</si>
  <si>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</si>
  <si>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</si>
  <si>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</si>
  <si>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</si>
  <si>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</si>
  <si>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</si>
  <si>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</si>
  <si>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</si>
  <si>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</si>
  <si>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</si>
  <si>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</si>
  <si>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</si>
  <si>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</si>
  <si>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</si>
  <si>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</si>
  <si>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</si>
  <si>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</si>
  <si>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</si>
  <si>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</si>
  <si>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</si>
  <si>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</si>
  <si>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</si>
  <si>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</si>
  <si>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</si>
  <si>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</si>
  <si>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</si>
  <si>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</si>
  <si>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</si>
  <si>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</si>
  <si>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</si>
  <si>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</si>
  <si>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</si>
  <si>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</si>
  <si>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</si>
  <si>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</si>
  <si>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</si>
  <si>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</si>
  <si>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</si>
  <si>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</si>
  <si>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</si>
  <si>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</si>
  <si>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</si>
  <si>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</si>
  <si>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</si>
  <si>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</si>
  <si>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</si>
  <si>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</si>
  <si>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</si>
  <si>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</si>
  <si>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</si>
  <si>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</si>
  <si>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</si>
  <si>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</si>
  <si>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</si>
  <si>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</si>
  <si>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</si>
  <si>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</si>
  <si>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</si>
  <si>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</si>
  <si>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</si>
  <si>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</si>
  <si>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</si>
  <si>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</si>
  <si>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</si>
  <si>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</si>
  <si>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</si>
  <si>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</si>
  <si>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</si>
  <si>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</si>
  <si>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</si>
  <si>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</si>
  <si>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</si>
  <si>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</si>
  <si>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</si>
  <si>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</si>
  <si>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</si>
  <si>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</si>
  <si>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</si>
  <si>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</si>
  <si>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</si>
  <si>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</si>
  <si>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</si>
  <si>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</si>
  <si>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</si>
  <si>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</si>
  <si>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</si>
  <si>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</si>
  <si>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</si>
  <si>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</si>
  <si>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</si>
  <si>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</si>
  <si>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</si>
  <si>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</si>
  <si>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</si>
  <si>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</si>
  <si>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</si>
  <si>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</si>
  <si>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</si>
  <si>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</si>
  <si>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</si>
  <si>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</si>
  <si>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</si>
  <si>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</si>
  <si>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</si>
  <si>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</si>
  <si>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</si>
  <si>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</si>
  <si>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</si>
  <si>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</si>
  <si>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</si>
  <si>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</si>
  <si>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</si>
  <si>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</si>
  <si>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</si>
  <si>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</si>
  <si>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</si>
  <si>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</si>
  <si>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</si>
  <si>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</si>
  <si>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</si>
  <si>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</si>
  <si>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</si>
  <si>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</si>
  <si>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</si>
  <si>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</si>
  <si>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</si>
  <si>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</si>
  <si>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</si>
  <si>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</si>
  <si>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</si>
  <si>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</si>
  <si>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</si>
  <si>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</si>
  <si>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</si>
  <si>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</si>
  <si>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</si>
  <si>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</si>
  <si>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</si>
  <si>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</si>
  <si>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</si>
  <si>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</si>
  <si>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</si>
  <si>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</si>
  <si>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</si>
  <si>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</si>
  <si>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</si>
  <si>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</si>
  <si>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</si>
  <si>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</si>
  <si>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</si>
  <si>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</si>
  <si>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</si>
  <si>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</si>
  <si>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</si>
  <si>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</si>
  <si>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</si>
  <si>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</si>
  <si>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</si>
  <si>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</si>
  <si>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</si>
  <si>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</si>
  <si>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</si>
  <si>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</si>
  <si>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</si>
  <si>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</si>
  <si>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</si>
  <si>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</si>
  <si>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</si>
  <si>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</si>
  <si>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</si>
  <si>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</si>
  <si>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</si>
  <si>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</si>
  <si>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</si>
  <si>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</si>
  <si>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</si>
  <si>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</si>
  <si>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</si>
  <si>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</si>
  <si>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</si>
  <si>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</si>
  <si>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</si>
  <si>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</si>
  <si>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</si>
  <si>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</si>
  <si>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</si>
  <si>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</si>
  <si>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</si>
  <si>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</si>
  <si>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</si>
  <si>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</si>
  <si>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</si>
  <si>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</si>
  <si>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</si>
  <si>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</si>
  <si>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</si>
  <si>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</si>
  <si>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</si>
  <si>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</si>
  <si>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</si>
  <si>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</si>
  <si>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</si>
  <si>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</si>
  <si>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</si>
  <si>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</si>
  <si>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</si>
  <si>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</si>
  <si>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</si>
  <si>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</si>
  <si>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</si>
  <si>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</si>
  <si>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</si>
  <si>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</si>
  <si>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</si>
  <si>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</si>
  <si>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</si>
  <si>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</si>
  <si>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</si>
  <si>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</si>
  <si>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</si>
  <si>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</si>
  <si>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</si>
  <si>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</si>
  <si>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</si>
  <si>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</si>
  <si>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</si>
  <si>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</si>
  <si>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</si>
  <si>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</si>
  <si>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</si>
  <si>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</si>
  <si>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</si>
  <si>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</si>
  <si>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</si>
  <si>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</si>
  <si>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</si>
  <si>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</si>
  <si>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</si>
  <si>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</si>
  <si>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</si>
  <si>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</si>
  <si>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</si>
  <si>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</si>
  <si>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</si>
  <si>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</si>
  <si>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</si>
  <si>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</si>
  <si>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</si>
  <si>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</si>
  <si>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</si>
  <si>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</si>
  <si>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</si>
  <si>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</si>
  <si>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</si>
  <si>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</si>
  <si>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</si>
  <si>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</si>
  <si>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</si>
  <si>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</si>
  <si>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</si>
  <si>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</si>
  <si>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</si>
  <si>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</si>
  <si>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</si>
  <si>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</si>
  <si>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</si>
  <si>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</si>
  <si>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</si>
  <si>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</si>
  <si>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</si>
  <si>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</si>
  <si>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</si>
  <si>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</si>
  <si>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</si>
  <si>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</si>
  <si>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</si>
  <si>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</si>
  <si>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</si>
  <si>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</si>
  <si>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</si>
  <si>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</si>
  <si>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</si>
  <si>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</si>
  <si>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</si>
  <si>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</si>
  <si>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</si>
  <si>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</si>
  <si>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</si>
  <si>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</si>
  <si>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</si>
  <si>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</si>
  <si>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</si>
  <si>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</si>
  <si>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</si>
  <si>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</si>
  <si>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</si>
  <si>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</si>
  <si>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</si>
  <si>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</si>
  <si>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</si>
  <si>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</si>
  <si>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</si>
  <si>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</si>
  <si>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</si>
  <si>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</si>
  <si>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</si>
  <si>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</si>
  <si>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</si>
  <si>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</si>
  <si>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</si>
  <si>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</si>
  <si>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</si>
  <si>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</si>
  <si>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</si>
  <si>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</si>
  <si>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</si>
  <si>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</si>
  <si>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</si>
  <si>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</si>
  <si>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</si>
  <si>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</si>
  <si>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</si>
  <si>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</si>
  <si>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</si>
  <si>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</si>
  <si>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</si>
  <si>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</si>
  <si>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</si>
  <si>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</si>
  <si>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</si>
  <si>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</si>
  <si>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</si>
  <si>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</si>
  <si>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</si>
  <si>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</si>
  <si>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</si>
  <si>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</si>
  <si>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</si>
  <si>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</si>
  <si>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</si>
  <si>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</si>
  <si>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</si>
  <si>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</si>
  <si>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</si>
  <si>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</si>
  <si>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</si>
  <si>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</si>
  <si>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</si>
  <si>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</si>
  <si>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</si>
  <si>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</si>
  <si>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</si>
  <si>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</si>
  <si>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</si>
  <si>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</si>
  <si>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</si>
  <si>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</si>
  <si>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</si>
  <si>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</si>
  <si>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</si>
  <si>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</si>
  <si>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</si>
  <si>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</si>
  <si>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</si>
  <si>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</si>
  <si>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</si>
  <si>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</si>
  <si>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</si>
  <si>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</si>
  <si>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</si>
  <si>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</si>
  <si>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</si>
  <si>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</si>
  <si>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</si>
  <si>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</si>
  <si>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</si>
  <si>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</si>
  <si>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</si>
  <si>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</si>
  <si>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</si>
  <si>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</si>
  <si>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</si>
  <si>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</si>
  <si>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</si>
  <si>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</si>
  <si>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</si>
  <si>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</si>
  <si>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</si>
  <si>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</si>
  <si>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</si>
  <si>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</si>
  <si>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</si>
  <si>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</si>
  <si>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</si>
  <si>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</si>
  <si>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</si>
  <si>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</si>
  <si>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</si>
  <si>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</si>
  <si>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</si>
  <si>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</si>
  <si>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</si>
  <si>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</si>
  <si>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</si>
  <si>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</si>
  <si>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</si>
  <si>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</si>
  <si>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</si>
  <si>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</si>
  <si>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</si>
  <si>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</si>
  <si>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</si>
  <si>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</si>
  <si>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</si>
  <si>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</si>
  <si>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</si>
  <si>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</si>
  <si>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</si>
  <si>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</si>
  <si>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</si>
  <si>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</si>
  <si>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</si>
  <si>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</si>
  <si>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</si>
  <si>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</si>
  <si>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</si>
  <si>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</si>
  <si>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</si>
  <si>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</si>
  <si>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</si>
  <si>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</si>
  <si>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</si>
  <si>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</si>
  <si>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</si>
  <si>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</si>
  <si>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</si>
  <si>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</si>
  <si>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</si>
  <si>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</si>
  <si>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</si>
  <si>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</si>
  <si>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</si>
  <si>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</si>
  <si>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</si>
  <si>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</si>
  <si>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</si>
  <si>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</si>
  <si>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</si>
  <si>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</si>
  <si>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</si>
  <si>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</si>
  <si>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</si>
  <si>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</si>
  <si>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</si>
  <si>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</si>
  <si>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</si>
  <si>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</si>
  <si>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</si>
  <si>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</si>
  <si>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</si>
  <si>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</si>
  <si>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</si>
  <si>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</si>
  <si>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</si>
  <si>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</si>
  <si>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</si>
  <si>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</si>
  <si>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</si>
  <si>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</si>
  <si>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</si>
  <si>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</si>
  <si>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</si>
  <si>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</si>
  <si>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</si>
  <si>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</si>
  <si>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</si>
  <si>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</si>
  <si>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</si>
  <si>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</si>
  <si>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</si>
  <si>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</si>
  <si>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</si>
  <si>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</si>
  <si>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</si>
  <si>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</si>
  <si>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</si>
  <si>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</si>
  <si>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</si>
  <si>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</si>
  <si>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</si>
  <si>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</si>
  <si>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</si>
  <si>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</si>
  <si>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</si>
  <si>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</si>
  <si>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</si>
  <si>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</si>
  <si>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</si>
  <si>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</si>
  <si>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</si>
  <si>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</si>
  <si>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</si>
  <si>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</si>
  <si>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</si>
  <si>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</si>
  <si>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</si>
  <si>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</si>
  <si>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</si>
  <si>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</si>
  <si>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</si>
  <si>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</si>
  <si>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</si>
  <si>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</si>
  <si>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</si>
  <si>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</si>
  <si>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</si>
  <si>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</si>
  <si>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</si>
  <si>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</si>
  <si>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</si>
  <si>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</si>
  <si>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</si>
  <si>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</si>
  <si>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</si>
  <si>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</si>
  <si>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</si>
  <si>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</si>
  <si>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</si>
  <si>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</si>
  <si>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</si>
  <si>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</si>
  <si>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</si>
  <si>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</si>
  <si>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</si>
  <si>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</si>
  <si>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</si>
  <si>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</si>
  <si>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</si>
  <si>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</si>
  <si>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</si>
  <si>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</si>
  <si>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</si>
  <si>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</si>
  <si>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</si>
  <si>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</si>
  <si>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</si>
  <si>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</si>
  <si>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</si>
  <si>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</si>
  <si>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</si>
  <si>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</si>
  <si>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</si>
  <si>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</si>
  <si>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</si>
  <si>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</si>
  <si>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</si>
  <si>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</si>
  <si>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</si>
  <si>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</si>
  <si>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</si>
  <si>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</si>
  <si>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</si>
  <si>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</si>
  <si>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</si>
  <si>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</si>
  <si>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</si>
  <si>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</si>
  <si>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</si>
  <si>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</si>
  <si>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</si>
  <si>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</si>
  <si>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</si>
  <si>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</si>
  <si>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</si>
  <si>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</si>
  <si>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</si>
  <si>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</si>
  <si>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</si>
  <si>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</si>
  <si>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</si>
  <si>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</si>
  <si>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</si>
  <si>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</si>
  <si>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</si>
  <si>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</si>
  <si>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</si>
  <si>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</si>
  <si>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</si>
  <si>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</si>
  <si>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</si>
  <si>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</si>
  <si>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</si>
  <si>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</si>
  <si>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</si>
  <si>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</si>
  <si>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</si>
  <si>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</si>
  <si>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</si>
  <si>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</si>
  <si>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</si>
  <si>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</si>
  <si>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</si>
  <si>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</si>
  <si>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</si>
  <si>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</si>
  <si>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</si>
  <si>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</si>
  <si>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</si>
  <si>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</si>
  <si>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</si>
  <si>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</si>
  <si>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</si>
  <si>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</si>
  <si>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</si>
  <si>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</si>
  <si>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</si>
  <si>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</si>
  <si>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</si>
  <si>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</si>
  <si>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</si>
  <si>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</si>
  <si>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</si>
  <si>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</si>
  <si>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</si>
  <si>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</si>
  <si>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</si>
  <si>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</si>
  <si>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</si>
  <si>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</si>
  <si>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</si>
  <si>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</si>
  <si>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</si>
  <si>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</si>
  <si>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</si>
  <si>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</si>
  <si>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</si>
  <si>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</si>
  <si>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</si>
  <si>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</si>
  <si>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</si>
  <si>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</si>
  <si>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</si>
  <si>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</si>
  <si>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</si>
  <si>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</si>
  <si>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</si>
  <si>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</si>
  <si>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</si>
  <si>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</si>
  <si>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</si>
  <si>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</si>
  <si>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</si>
  <si>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</si>
  <si>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</si>
  <si>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</si>
  <si>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</si>
  <si>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</si>
  <si>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</si>
  <si>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</si>
  <si>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</si>
  <si>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</si>
  <si>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</si>
  <si>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</si>
  <si>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</si>
  <si>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</si>
  <si>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</si>
  <si>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</si>
  <si>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</si>
  <si>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</si>
  <si>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</si>
  <si>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</si>
  <si>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</si>
  <si>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</si>
  <si>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</si>
  <si>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</si>
  <si>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</si>
  <si>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</si>
  <si>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</si>
  <si>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</si>
  <si>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</si>
  <si>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</si>
  <si>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</si>
  <si>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</si>
  <si>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</si>
  <si>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</si>
  <si>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</si>
  <si>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</si>
  <si>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</si>
  <si>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</si>
  <si>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</si>
  <si>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</si>
  <si>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</si>
  <si>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</si>
  <si>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</si>
  <si>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</si>
  <si>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</si>
  <si>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</si>
  <si>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</si>
  <si>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</si>
  <si>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</si>
  <si>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</si>
  <si>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</si>
  <si>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</si>
  <si>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</si>
  <si>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</si>
  <si>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</si>
  <si>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</si>
  <si>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</si>
  <si>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</si>
  <si>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</si>
  <si>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</si>
  <si>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</si>
  <si>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</si>
  <si>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</si>
  <si>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</si>
  <si>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</si>
  <si>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</si>
  <si>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</si>
  <si>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</si>
  <si>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</si>
  <si>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</si>
  <si>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</si>
  <si>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</si>
  <si>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</si>
  <si>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</si>
  <si>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</si>
  <si>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</si>
  <si>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</si>
  <si>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</si>
  <si>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</si>
  <si>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</si>
  <si>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</si>
  <si>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</si>
  <si>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</si>
  <si>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</si>
  <si>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</si>
  <si>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</si>
  <si>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</si>
  <si>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</si>
  <si>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</si>
  <si>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</si>
  <si>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</si>
  <si>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</si>
  <si>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</si>
  <si>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</si>
  <si>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</si>
  <si>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</si>
  <si>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</si>
  <si>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</si>
  <si>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</si>
  <si>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</si>
  <si>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</si>
  <si>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</si>
  <si>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</si>
  <si>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</si>
  <si>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</si>
  <si>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</si>
  <si>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</si>
  <si>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</si>
  <si>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</si>
  <si>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</si>
  <si>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</si>
  <si>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</si>
  <si>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</si>
  <si>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</si>
  <si>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</si>
  <si>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</si>
  <si>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</si>
  <si>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</si>
  <si>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</si>
  <si>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</si>
  <si>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</si>
  <si>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</si>
  <si>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</si>
  <si>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</si>
  <si>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</si>
  <si>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</si>
  <si>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</si>
  <si>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</si>
  <si>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</si>
  <si>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</si>
  <si>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</si>
  <si>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</si>
  <si>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</si>
  <si>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</si>
  <si>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</si>
  <si>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</si>
  <si>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</si>
  <si>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</si>
  <si>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</si>
  <si>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</si>
  <si>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</si>
  <si>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</si>
  <si>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</si>
  <si>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</si>
  <si>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</si>
  <si>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</si>
  <si>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</si>
  <si>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</si>
  <si>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</si>
  <si>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</si>
  <si>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</si>
  <si>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</si>
  <si>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</si>
  <si>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</si>
  <si>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</si>
  <si>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</si>
  <si>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</si>
  <si>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</si>
  <si>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</si>
  <si>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</si>
  <si>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</si>
  <si>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</si>
  <si>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</si>
  <si>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</si>
  <si>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</si>
  <si>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</si>
  <si>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</si>
  <si>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</si>
  <si>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</si>
  <si>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</si>
  <si>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</si>
  <si>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</si>
  <si>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</si>
  <si>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</si>
  <si>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</si>
  <si>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</si>
  <si>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</si>
  <si>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</si>
  <si>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</si>
  <si>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</si>
  <si>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</si>
  <si>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</si>
  <si>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</si>
  <si>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</si>
  <si>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</si>
  <si>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</si>
  <si>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</si>
  <si>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</si>
  <si>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</si>
  <si>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</si>
  <si>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</si>
  <si>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</si>
  <si>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</si>
  <si>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</si>
  <si>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</si>
  <si>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</si>
  <si>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</si>
  <si>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</si>
  <si>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</si>
  <si>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</si>
  <si>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</si>
  <si>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</si>
  <si>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</si>
  <si>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</si>
  <si>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</si>
  <si>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</si>
  <si>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</si>
  <si>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</si>
  <si>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</si>
  <si>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</si>
  <si>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</si>
  <si>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</si>
  <si>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</si>
  <si>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</si>
  <si>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</si>
  <si>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</si>
  <si>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</si>
  <si>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</si>
  <si>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</si>
  <si>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</si>
  <si>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</si>
  <si>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</si>
  <si>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</si>
  <si>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</si>
  <si>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</si>
  <si>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</si>
  <si>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</si>
  <si>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</si>
  <si>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</si>
  <si>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</si>
  <si>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</si>
  <si>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</si>
  <si>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</si>
  <si>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</si>
  <si>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</si>
  <si>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</si>
  <si>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</si>
  <si>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</si>
  <si>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</si>
  <si>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</si>
  <si>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</si>
  <si>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</si>
  <si>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</si>
  <si>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</si>
  <si>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</si>
  <si>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</si>
  <si>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</si>
  <si>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</si>
  <si>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</si>
  <si>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</si>
  <si>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</si>
  <si>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</si>
  <si>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</si>
  <si>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</si>
  <si>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</si>
  <si>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</si>
  <si>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</si>
  <si>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</si>
  <si>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</si>
  <si>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</si>
  <si>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</si>
  <si>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</si>
  <si>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</si>
  <si>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</si>
  <si>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</si>
  <si>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</si>
  <si>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</si>
  <si>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</si>
  <si>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</si>
  <si>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</si>
  <si>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</si>
  <si>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</si>
  <si>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</si>
  <si>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</si>
  <si>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</si>
  <si>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</si>
  <si>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</si>
  <si>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</si>
  <si>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</si>
  <si>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</si>
  <si>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</si>
  <si>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</si>
  <si>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</si>
  <si>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</si>
  <si>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</si>
  <si>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</si>
  <si>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</si>
  <si>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</si>
  <si>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</si>
  <si>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</si>
  <si>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</si>
  <si>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</si>
  <si>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</si>
  <si>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</si>
  <si>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</si>
  <si>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</si>
  <si>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</si>
  <si>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</si>
  <si>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</si>
  <si>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</si>
  <si>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</si>
  <si>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</si>
  <si>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</si>
  <si>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</si>
  <si>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</si>
  <si>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</si>
  <si>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</si>
  <si>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</si>
  <si>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</si>
  <si>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</si>
  <si>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</si>
  <si>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</si>
  <si>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</si>
  <si>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</si>
  <si>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</si>
  <si>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</si>
  <si>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</si>
  <si>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</si>
  <si>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</si>
  <si>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</si>
  <si>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</si>
  <si>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</si>
  <si>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</si>
  <si>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</si>
  <si>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</si>
  <si>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</si>
  <si>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</si>
  <si>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</si>
  <si>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</si>
  <si>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</si>
  <si>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</si>
  <si>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</si>
  <si>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</si>
  <si>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</si>
  <si>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</si>
  <si>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</si>
  <si>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</si>
  <si>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</si>
  <si>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</si>
  <si>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</si>
  <si>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</si>
  <si>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</si>
  <si>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</si>
  <si>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</si>
  <si>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</si>
  <si>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</si>
  <si>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</si>
  <si>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</si>
  <si>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</si>
  <si>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</si>
  <si>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</si>
  <si>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</si>
  <si>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</si>
  <si>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</si>
  <si>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</si>
  <si>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</si>
  <si>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</si>
  <si>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</si>
  <si>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</si>
  <si>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</si>
  <si>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</si>
  <si>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</si>
  <si>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</si>
  <si>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</si>
  <si>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</si>
  <si>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</si>
  <si>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</si>
  <si>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</si>
  <si>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</si>
  <si>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</si>
  <si>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</si>
  <si>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</si>
  <si>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</si>
  <si>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</si>
  <si>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</si>
  <si>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</si>
  <si>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</si>
  <si>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</si>
  <si>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</si>
  <si>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</si>
  <si>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</si>
  <si>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</si>
  <si>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</si>
  <si>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</si>
  <si>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</si>
  <si>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</si>
  <si>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</si>
  <si>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</si>
  <si>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</si>
  <si>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</si>
  <si>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</si>
  <si>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</si>
  <si>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</si>
  <si>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</si>
  <si>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</si>
  <si>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</si>
  <si>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</si>
  <si>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</si>
  <si>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</si>
  <si>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</si>
  <si>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</si>
  <si>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</si>
  <si>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</si>
  <si>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</si>
  <si>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</si>
  <si>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</si>
  <si>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</si>
  <si>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</si>
  <si>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</si>
  <si>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</si>
  <si>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</si>
  <si>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</si>
  <si>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</si>
  <si>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</si>
  <si>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</si>
  <si>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</si>
  <si>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</si>
  <si>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</si>
  <si>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</si>
  <si>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</si>
  <si>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</si>
  <si>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</si>
  <si>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</si>
  <si>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</si>
  <si>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</si>
  <si>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</si>
  <si>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</si>
  <si>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</si>
  <si>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</si>
  <si>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</si>
  <si>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</si>
  <si>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</si>
  <si>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</si>
  <si>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</si>
  <si>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</si>
  <si>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</si>
  <si>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</si>
  <si>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</si>
  <si>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</si>
  <si>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</si>
  <si>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</si>
  <si>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</si>
  <si>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</si>
  <si>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</si>
  <si>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</si>
  <si>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</si>
  <si>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</si>
  <si>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</si>
  <si>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</si>
  <si>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</si>
  <si>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</si>
  <si>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</si>
  <si>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</si>
  <si>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</si>
  <si>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</si>
  <si>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</si>
  <si>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</si>
  <si>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</si>
  <si>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</si>
  <si>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</si>
  <si>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</si>
  <si>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</si>
  <si>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</si>
  <si>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</si>
  <si>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</si>
  <si>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</si>
  <si>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</si>
  <si>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</si>
  <si>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</si>
  <si>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</si>
  <si>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</si>
  <si>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</si>
  <si>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</si>
  <si>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</si>
  <si>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</si>
  <si>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</si>
  <si>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</si>
  <si>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</si>
  <si>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</si>
  <si>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</si>
  <si>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</si>
  <si>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</si>
  <si>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</si>
  <si>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</si>
  <si>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</si>
  <si>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</si>
  <si>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</si>
  <si>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</si>
  <si>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</si>
  <si>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</si>
  <si>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</si>
  <si>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</si>
  <si>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</si>
  <si>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</si>
  <si>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</si>
  <si>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</si>
  <si>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</si>
  <si>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</si>
  <si>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</si>
  <si>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</si>
  <si>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</si>
  <si>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</si>
  <si>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</si>
  <si>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</si>
  <si>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</si>
  <si>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</si>
  <si>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</si>
  <si>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</si>
  <si>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</si>
  <si>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</si>
  <si>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</si>
  <si>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</si>
  <si>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</si>
  <si>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</si>
  <si>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</si>
  <si>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</si>
  <si>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</si>
  <si>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</si>
  <si>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</si>
  <si>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</si>
  <si>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</si>
  <si>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</si>
  <si>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</si>
  <si>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</si>
  <si>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</si>
  <si>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</si>
  <si>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</si>
  <si>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</si>
  <si>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</si>
  <si>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</si>
  <si>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</si>
  <si>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</si>
  <si>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</si>
  <si>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</si>
  <si>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</si>
  <si>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</si>
  <si>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</si>
  <si>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</si>
  <si>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</si>
  <si>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</si>
  <si>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</si>
  <si>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</si>
  <si>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</si>
  <si>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</si>
  <si>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</si>
  <si>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</si>
  <si>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</si>
  <si>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</si>
  <si>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</si>
  <si>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</si>
  <si>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</si>
  <si>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</si>
  <si>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</si>
  <si>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</si>
  <si>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</si>
  <si>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</si>
  <si>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</si>
  <si>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</si>
  <si>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</si>
  <si>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</si>
  <si>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</si>
  <si>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</si>
  <si>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</si>
  <si>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</si>
  <si>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</si>
  <si>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</si>
  <si>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</si>
  <si>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</si>
  <si>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</si>
  <si>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</si>
  <si>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</si>
  <si>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</si>
  <si>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</si>
  <si>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</si>
  <si>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</si>
  <si>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</si>
  <si>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</si>
  <si>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</si>
  <si>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</si>
  <si>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</si>
  <si>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</si>
  <si>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</si>
  <si>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</si>
  <si>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</si>
  <si>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</si>
  <si>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</si>
  <si>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</si>
  <si>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</si>
  <si>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</si>
  <si>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</si>
  <si>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</si>
  <si>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</si>
  <si>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</si>
  <si>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</si>
  <si>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</si>
  <si>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</si>
  <si>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</si>
  <si>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</si>
  <si>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</si>
  <si>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</si>
  <si>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</si>
  <si>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</si>
  <si>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</si>
  <si>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</si>
  <si>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</si>
  <si>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</si>
  <si>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</si>
  <si>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</si>
  <si>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</si>
  <si>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</si>
  <si>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</si>
  <si>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</si>
  <si>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</si>
  <si>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</si>
  <si>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</si>
  <si>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</si>
  <si>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</si>
  <si>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</si>
  <si>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</si>
  <si>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</si>
  <si>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</si>
  <si>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</si>
  <si>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</si>
  <si>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</si>
  <si>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</si>
  <si>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</si>
  <si>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</si>
  <si>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</si>
  <si>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</si>
  <si>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</si>
  <si>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</si>
  <si>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</si>
  <si>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</si>
  <si>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</si>
  <si>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</si>
  <si>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</si>
  <si>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</si>
  <si>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</si>
  <si>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</si>
  <si>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</si>
  <si>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</si>
  <si>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</si>
  <si>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</si>
  <si>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</si>
  <si>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</si>
  <si>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</si>
  <si>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</si>
  <si>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</si>
  <si>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</si>
  <si>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</si>
  <si>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</si>
  <si>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</si>
  <si>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</si>
  <si>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</si>
  <si>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</si>
  <si>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</si>
  <si>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</si>
  <si>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</si>
  <si>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</si>
  <si>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</si>
  <si>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</si>
  <si>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</si>
  <si>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</si>
  <si>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</si>
  <si>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</si>
  <si>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</si>
  <si>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</si>
  <si>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</si>
  <si>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</si>
  <si>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</si>
  <si>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</si>
  <si>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</si>
  <si>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</si>
  <si>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</si>
  <si>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</si>
  <si>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</si>
  <si>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</si>
  <si>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</si>
  <si>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</si>
  <si>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</si>
  <si>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</si>
  <si>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</si>
  <si>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</si>
  <si>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</si>
  <si>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</si>
  <si>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</si>
  <si>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</si>
  <si>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</si>
  <si>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</si>
  <si>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</si>
  <si>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</si>
  <si>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</si>
  <si>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</si>
  <si>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</si>
  <si>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</si>
  <si>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</si>
  <si>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</si>
  <si>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</si>
  <si>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</si>
  <si>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</si>
  <si>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</si>
  <si>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</si>
  <si>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</si>
  <si>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</si>
  <si>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</si>
  <si>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</si>
  <si>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</si>
  <si>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</si>
  <si>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</si>
  <si>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</si>
  <si>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</si>
  <si>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</si>
  <si>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</si>
  <si>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</si>
  <si>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</si>
  <si>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</si>
  <si>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</si>
  <si>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</si>
  <si>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</si>
  <si>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</si>
  <si>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</si>
  <si>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</si>
  <si>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</si>
  <si>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</si>
  <si>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</si>
  <si>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</si>
  <si>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</si>
  <si>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</si>
  <si>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</si>
  <si>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</si>
  <si>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</si>
  <si>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</si>
  <si>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</si>
  <si>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</si>
  <si>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</si>
  <si>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</si>
  <si>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</si>
  <si>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</si>
  <si>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</si>
  <si>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</si>
  <si>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</si>
  <si>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</si>
  <si>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</si>
  <si>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</si>
  <si>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</si>
  <si>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</si>
  <si>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</si>
  <si>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</si>
  <si>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</si>
  <si>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</si>
  <si>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</si>
  <si>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</si>
  <si>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</si>
  <si>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</si>
  <si>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</si>
  <si>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</si>
  <si>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</si>
  <si>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</si>
  <si>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</si>
  <si>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</si>
  <si>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</si>
  <si>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</si>
  <si>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</si>
  <si>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</si>
  <si>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</si>
  <si>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</si>
  <si>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</si>
  <si>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</si>
  <si>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</si>
  <si>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</si>
  <si>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</si>
  <si>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</si>
  <si>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</si>
  <si>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</si>
  <si>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</si>
  <si>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</si>
  <si>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</si>
  <si>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</si>
  <si>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</si>
  <si>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</si>
  <si>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</si>
  <si>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</si>
  <si>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</si>
  <si>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</si>
  <si>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</si>
  <si>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</si>
  <si>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</si>
  <si>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</si>
  <si>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</si>
  <si>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</si>
  <si>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</si>
  <si>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</si>
  <si>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</si>
  <si>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</si>
  <si>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</si>
  <si>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</si>
  <si>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</si>
  <si>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</si>
  <si>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</si>
  <si>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</si>
  <si>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</si>
  <si>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</si>
  <si>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</si>
  <si>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</si>
  <si>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</si>
  <si>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</si>
  <si>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</si>
  <si>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</si>
  <si>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</si>
  <si>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</si>
  <si>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</si>
  <si>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</si>
  <si>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</si>
  <si>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</si>
  <si>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</si>
  <si>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</si>
  <si>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</si>
  <si>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</si>
  <si>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</si>
  <si>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</si>
  <si>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</si>
  <si>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</si>
  <si>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</si>
  <si>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</si>
  <si>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</si>
  <si>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</si>
  <si>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</si>
  <si>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</si>
  <si>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</si>
  <si>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</si>
  <si>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</si>
  <si>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</si>
  <si>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</si>
  <si>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</si>
  <si>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</si>
  <si>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</si>
  <si>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</si>
  <si>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</si>
  <si>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</si>
  <si>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</si>
  <si>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</si>
  <si>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</si>
  <si>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</si>
  <si>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</si>
  <si>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</si>
  <si>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</si>
  <si>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</si>
  <si>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</si>
  <si>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</si>
  <si>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</si>
  <si>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</si>
  <si>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</si>
  <si>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</si>
  <si>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</si>
  <si>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</si>
  <si>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</si>
  <si>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</si>
  <si>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</si>
  <si>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</si>
  <si>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</si>
  <si>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</si>
  <si>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</si>
  <si>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</si>
  <si>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</si>
  <si>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</si>
  <si>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</si>
  <si>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</si>
  <si>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</si>
  <si>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</si>
  <si>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</si>
  <si>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</si>
  <si>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</si>
  <si>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</si>
  <si>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</si>
  <si>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</si>
  <si>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</si>
  <si>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</si>
  <si>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</si>
  <si>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</si>
  <si>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</si>
  <si>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</si>
  <si>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</si>
  <si>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</si>
  <si>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</si>
  <si>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</si>
  <si>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</si>
  <si>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</si>
  <si>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</si>
  <si>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</si>
  <si>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</si>
  <si>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</si>
  <si>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</si>
  <si>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</si>
  <si>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</si>
  <si>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</si>
  <si>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</si>
  <si>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</si>
  <si>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</si>
  <si>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</si>
  <si>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</si>
  <si>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</si>
  <si>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</si>
  <si>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</si>
  <si>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</si>
  <si>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</si>
  <si>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</si>
  <si>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</si>
  <si>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</si>
  <si>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</si>
  <si>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</si>
  <si>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</si>
  <si>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</si>
  <si>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</si>
  <si>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</si>
  <si>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</si>
  <si>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</si>
  <si>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</si>
  <si>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</si>
  <si>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</si>
  <si>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</si>
  <si>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</si>
  <si>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</si>
  <si>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</si>
  <si>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</si>
  <si>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</si>
  <si>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</si>
  <si>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</si>
  <si>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</si>
  <si>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</si>
  <si>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</si>
  <si>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</si>
  <si>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</si>
  <si>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</si>
  <si>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</si>
  <si>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</si>
  <si>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</si>
  <si>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</si>
  <si>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</si>
  <si>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</si>
  <si>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</si>
  <si>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</si>
  <si>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</si>
  <si>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</si>
  <si>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</si>
  <si>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</si>
  <si>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</si>
  <si>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</si>
  <si>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</si>
  <si>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</si>
  <si>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</si>
  <si>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</si>
  <si>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</si>
  <si>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</si>
  <si>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</si>
  <si>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</si>
  <si>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</si>
  <si>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</si>
  <si>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</si>
  <si>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</si>
  <si>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</si>
  <si>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</si>
  <si>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</si>
  <si>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</si>
  <si>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</si>
  <si>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</si>
  <si>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</si>
  <si>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</si>
  <si>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</si>
  <si>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</si>
  <si>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</si>
  <si>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</si>
  <si>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</si>
  <si>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</si>
  <si>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</si>
  <si>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</si>
  <si>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</si>
  <si>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</si>
  <si>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</si>
  <si>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</si>
  <si>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</si>
  <si>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</si>
  <si>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</si>
  <si>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</si>
  <si>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</si>
  <si>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</si>
  <si>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</si>
  <si>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</si>
  <si>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</si>
  <si>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</si>
  <si>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</si>
  <si>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</si>
  <si>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</si>
  <si>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</si>
  <si>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</si>
  <si>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</si>
  <si>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</si>
  <si>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</si>
  <si>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</si>
  <si>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</si>
  <si>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</si>
  <si>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</si>
  <si>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</si>
  <si>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</si>
  <si>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</si>
  <si>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</si>
  <si>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</si>
  <si>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</si>
  <si>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</si>
  <si>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</si>
  <si>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</si>
  <si>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</si>
  <si>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</si>
  <si>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</si>
  <si>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</si>
  <si>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</si>
  <si>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</si>
  <si>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</si>
  <si>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</si>
  <si>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</si>
  <si>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</si>
  <si>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</si>
  <si>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</si>
  <si>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</si>
  <si>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</si>
  <si>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</si>
  <si>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</si>
  <si>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</si>
  <si>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</si>
  <si>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</si>
  <si>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</si>
  <si>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</si>
  <si>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</si>
  <si>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</si>
  <si>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</si>
  <si>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</si>
  <si>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</si>
  <si>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</si>
  <si>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</si>
  <si>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</si>
  <si>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</si>
  <si>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</si>
  <si>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</si>
  <si>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</si>
  <si>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</si>
  <si>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</si>
  <si>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</si>
  <si>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</si>
  <si>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</si>
  <si>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</si>
  <si>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</si>
  <si>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</si>
  <si>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</si>
  <si>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</si>
  <si>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</si>
  <si>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</si>
  <si>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</si>
  <si>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</si>
  <si>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</si>
  <si>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</si>
  <si>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</si>
  <si>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</si>
  <si>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</si>
  <si>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</si>
  <si>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</si>
  <si>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</si>
  <si>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</si>
  <si>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</si>
  <si>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</si>
  <si>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</si>
  <si>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</si>
  <si>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</si>
  <si>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</si>
  <si>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</si>
  <si>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</si>
  <si>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</si>
  <si>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</si>
  <si>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</si>
  <si>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</si>
  <si>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</si>
  <si>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</si>
  <si>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</si>
  <si>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</si>
  <si>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</si>
  <si>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</si>
  <si>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</si>
  <si>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</si>
  <si>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</si>
  <si>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</si>
  <si>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</si>
  <si>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</si>
  <si>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</si>
  <si>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</si>
  <si>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</si>
  <si>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</si>
  <si>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</si>
  <si>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</si>
  <si>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</si>
  <si>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</si>
  <si>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</si>
  <si>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</si>
  <si>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</si>
  <si>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</si>
  <si>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</si>
  <si>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</si>
  <si>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</si>
  <si>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</si>
  <si>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</si>
  <si>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</si>
  <si>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</si>
  <si>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</si>
  <si>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</si>
  <si>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</si>
  <si>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</si>
  <si>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</si>
  <si>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</si>
  <si>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</si>
  <si>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</si>
  <si>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</si>
  <si>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</si>
  <si>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</si>
  <si>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</si>
  <si>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</si>
  <si>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</si>
  <si>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</si>
  <si>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</si>
  <si>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</si>
  <si>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</si>
  <si>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</si>
  <si>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</si>
  <si>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</si>
  <si>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</si>
  <si>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</si>
  <si>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</si>
  <si>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</si>
  <si>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</si>
  <si>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</si>
  <si>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</si>
  <si>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</si>
  <si>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</si>
  <si>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</si>
  <si>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</si>
  <si>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</si>
  <si>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</si>
  <si>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</si>
  <si>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</si>
  <si>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</si>
  <si>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</si>
  <si>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</si>
  <si>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</si>
  <si>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</si>
  <si>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</si>
  <si>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</si>
  <si>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</si>
  <si>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</si>
  <si>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</si>
  <si>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</si>
  <si>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</si>
  <si>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</si>
  <si>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</si>
  <si>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</si>
  <si>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</si>
  <si>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</si>
  <si>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</si>
  <si>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</si>
  <si>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</si>
  <si>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</si>
  <si>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</si>
  <si>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</si>
  <si>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</si>
  <si>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</si>
  <si>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</si>
  <si>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</si>
  <si>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</si>
  <si>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</si>
  <si>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</si>
  <si>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</si>
  <si>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</si>
  <si>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</si>
  <si>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</si>
  <si>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</si>
  <si>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</si>
  <si>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</si>
  <si>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</si>
  <si>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</si>
  <si>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</si>
  <si>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</si>
  <si>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</si>
  <si>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</si>
  <si>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</si>
  <si>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</si>
  <si>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</si>
  <si>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</si>
  <si>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</si>
  <si>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</si>
  <si>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</si>
  <si>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</si>
  <si>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</si>
  <si>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</si>
  <si>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</si>
  <si>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</si>
  <si>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</si>
  <si>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</si>
  <si>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</si>
  <si>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</si>
  <si>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</si>
  <si>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</si>
  <si>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</si>
  <si>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</si>
  <si>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</si>
  <si>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</si>
  <si>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</si>
  <si>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</si>
  <si>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</si>
  <si>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</si>
  <si>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</si>
  <si>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</si>
  <si>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</si>
  <si>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</si>
  <si>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</si>
  <si>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</si>
  <si>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</si>
  <si>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</si>
  <si>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</si>
  <si>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</si>
  <si>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</si>
  <si>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</si>
  <si>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</si>
  <si>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</si>
  <si>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</si>
  <si>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</si>
  <si>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</si>
  <si>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</si>
  <si>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</si>
  <si>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</si>
  <si>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</si>
  <si>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</si>
  <si>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</si>
  <si>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</si>
  <si>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</si>
  <si>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</si>
  <si>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</si>
  <si>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</si>
  <si>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</si>
  <si>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</si>
  <si>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</si>
  <si>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</si>
  <si>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</si>
  <si>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</si>
  <si>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</si>
  <si>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</si>
  <si>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</si>
  <si>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</si>
  <si>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</si>
  <si>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</si>
  <si>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</si>
  <si>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</si>
  <si>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</si>
  <si>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</si>
  <si>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</si>
  <si>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</si>
  <si>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</si>
  <si>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</si>
  <si>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</si>
  <si>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</si>
  <si>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</si>
  <si>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</si>
  <si>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</si>
  <si>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</si>
  <si>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</si>
  <si>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</si>
  <si>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</si>
  <si>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</si>
  <si>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</si>
  <si>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</si>
  <si>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</si>
  <si>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</si>
  <si>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</si>
  <si>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</si>
  <si>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</si>
  <si>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</si>
  <si>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</si>
  <si>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</si>
  <si>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</si>
  <si>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</si>
  <si>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</si>
  <si>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</si>
  <si>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</si>
  <si>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</si>
  <si>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</si>
  <si>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</si>
  <si>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</si>
  <si>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</si>
  <si>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</si>
  <si>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</si>
  <si>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</si>
  <si>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</si>
  <si>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</si>
  <si>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</si>
  <si>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</si>
  <si>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</si>
  <si>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</si>
  <si>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</si>
  <si>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</si>
  <si>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</si>
  <si>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</si>
  <si>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</si>
  <si>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</si>
  <si>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</si>
  <si>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</si>
  <si>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</si>
  <si>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</si>
  <si>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</si>
  <si>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</si>
  <si>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</si>
  <si>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</si>
  <si>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</si>
  <si>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</si>
  <si>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</si>
  <si>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</si>
  <si>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</si>
  <si>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</si>
  <si>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</si>
  <si>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</si>
  <si>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</si>
  <si>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</si>
  <si>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</si>
  <si>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</si>
  <si>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</si>
  <si>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</si>
  <si>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</si>
  <si>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</si>
  <si>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</si>
  <si>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</si>
  <si>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</si>
  <si>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</si>
  <si>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</si>
  <si>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</si>
  <si>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</si>
  <si>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</si>
  <si>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</si>
  <si>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</si>
  <si>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</si>
  <si>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</si>
  <si>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</si>
  <si>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</si>
  <si>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</si>
  <si>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</si>
  <si>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</si>
  <si>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</si>
  <si>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</si>
  <si>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</si>
  <si>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</si>
  <si>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</si>
  <si>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</si>
  <si>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</si>
  <si>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</si>
  <si>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</si>
  <si>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</si>
  <si>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</si>
  <si>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</si>
  <si>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</si>
  <si>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</si>
  <si>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</si>
  <si>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</si>
  <si>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</si>
  <si>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</si>
  <si>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</si>
  <si>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</si>
  <si>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</si>
  <si>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</si>
  <si>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</si>
  <si>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</si>
  <si>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</si>
  <si>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</si>
  <si>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</si>
  <si>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</si>
  <si>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</si>
  <si>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</si>
  <si>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</si>
  <si>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</si>
  <si>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</si>
  <si>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</si>
  <si>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</si>
  <si>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</si>
  <si>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</si>
  <si>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</si>
  <si>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</si>
  <si>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</si>
  <si>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</si>
  <si>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</si>
  <si>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</si>
  <si>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</si>
  <si>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</si>
  <si>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</si>
  <si>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</si>
  <si>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</si>
  <si>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</si>
  <si>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</si>
  <si>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</si>
  <si>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</si>
  <si>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</si>
  <si>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</si>
  <si>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</si>
  <si>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</si>
  <si>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</si>
  <si>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</si>
  <si>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</si>
  <si>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</si>
  <si>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</si>
  <si>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</si>
  <si>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</si>
  <si>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</si>
  <si>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</si>
  <si>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</si>
  <si>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</si>
  <si>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</si>
  <si>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</si>
  <si>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</si>
  <si>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</si>
  <si>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</si>
  <si>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</si>
  <si>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</si>
  <si>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</si>
  <si>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</si>
  <si>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</si>
  <si>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</si>
  <si>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</si>
  <si>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</si>
  <si>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</si>
  <si>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</si>
  <si>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</si>
  <si>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</si>
  <si>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</si>
  <si>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</si>
  <si>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</si>
  <si>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</si>
  <si>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</si>
  <si>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</si>
  <si>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</si>
  <si>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</si>
  <si>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</si>
  <si>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</si>
  <si>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</si>
  <si>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</si>
  <si>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</si>
  <si>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</si>
  <si>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</si>
  <si>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</si>
  <si>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</si>
  <si>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</si>
  <si>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</si>
  <si>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</si>
  <si>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</si>
  <si>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</si>
  <si>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</si>
  <si>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</si>
  <si>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</si>
  <si>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</si>
  <si>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</si>
  <si>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</si>
  <si>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</si>
  <si>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</si>
  <si>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</si>
  <si>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</si>
  <si>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</si>
  <si>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</si>
  <si>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</si>
  <si>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</si>
  <si>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</si>
  <si>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</si>
  <si>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</si>
  <si>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</si>
  <si>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</si>
  <si>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</si>
  <si>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</si>
  <si>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</si>
  <si>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</si>
  <si>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</si>
  <si>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</si>
  <si>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</si>
  <si>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</si>
  <si>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</si>
  <si>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</si>
  <si>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</si>
  <si>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</si>
  <si>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</si>
  <si>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</si>
  <si>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</si>
  <si>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</si>
  <si>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</si>
  <si>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</si>
  <si>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</si>
  <si>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</si>
  <si>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</si>
  <si>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</si>
  <si>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</si>
  <si>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</si>
  <si>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</si>
  <si>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</si>
  <si>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</si>
  <si>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</si>
  <si>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</si>
  <si>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</si>
  <si>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</si>
  <si>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</si>
  <si>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</si>
  <si>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</si>
  <si>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</si>
  <si>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</si>
  <si>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</si>
  <si>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</si>
  <si>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</si>
  <si>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</si>
  <si>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</si>
  <si>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</si>
  <si>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</si>
  <si>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</si>
  <si>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</si>
  <si>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</si>
  <si>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</si>
  <si>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</si>
  <si>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</si>
  <si>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</si>
  <si>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</si>
  <si>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</si>
  <si>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</si>
  <si>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</si>
  <si>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</si>
  <si>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</si>
  <si>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</si>
  <si>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</si>
  <si>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</si>
  <si>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</si>
  <si>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</si>
  <si>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</si>
  <si>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</si>
  <si>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</si>
  <si>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</si>
  <si>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</si>
  <si>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</si>
  <si>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</si>
  <si>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</si>
  <si>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</si>
  <si>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</si>
  <si>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</si>
  <si>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</si>
  <si>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</si>
  <si>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</si>
  <si>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</si>
  <si>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</si>
  <si>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</si>
  <si>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</si>
  <si>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</si>
  <si>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</si>
  <si>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</si>
  <si>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</si>
  <si>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</si>
  <si>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</si>
  <si>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</si>
  <si>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</si>
  <si>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</si>
  <si>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</si>
  <si>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</si>
  <si>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</si>
  <si>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</si>
  <si>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</si>
  <si>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</si>
  <si>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</si>
  <si>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</si>
  <si>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</si>
  <si>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</si>
  <si>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</si>
  <si>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</si>
  <si>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</si>
  <si>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</si>
  <si>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</si>
  <si>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</si>
  <si>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</si>
  <si>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</si>
  <si>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</si>
  <si>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</si>
  <si>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</si>
  <si>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</si>
  <si>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</si>
  <si>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</si>
  <si>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</si>
  <si>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</si>
  <si>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</si>
  <si>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</si>
  <si>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</si>
  <si>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</si>
  <si>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</si>
  <si>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</si>
  <si>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</si>
  <si>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</si>
  <si>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</si>
  <si>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</si>
  <si>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</si>
  <si>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</si>
  <si>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</si>
  <si>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</si>
  <si>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</si>
  <si>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</si>
  <si>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</si>
  <si>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</si>
  <si>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</si>
  <si>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</si>
  <si>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</si>
  <si>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</si>
  <si>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</si>
  <si>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</si>
  <si>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</si>
  <si>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</si>
  <si>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</si>
  <si>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</si>
  <si>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</si>
  <si>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</si>
  <si>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</si>
  <si>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</si>
  <si>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</si>
  <si>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</si>
  <si>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</si>
  <si>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</si>
  <si>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</si>
  <si>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</si>
  <si>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</si>
  <si>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</si>
  <si>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</si>
  <si>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</si>
  <si>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</si>
  <si>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</si>
  <si>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</si>
  <si>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</si>
  <si>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</si>
  <si>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</si>
  <si>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</si>
  <si>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</si>
  <si>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</si>
  <si>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</si>
  <si>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</si>
  <si>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</si>
  <si>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</si>
  <si>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</si>
  <si>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</si>
  <si>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</si>
  <si>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</si>
  <si>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</si>
  <si>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</si>
  <si>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</si>
  <si>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</si>
  <si>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</si>
  <si>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</si>
  <si>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</si>
  <si>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</si>
  <si>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</si>
  <si>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</si>
  <si>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</si>
  <si>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</si>
  <si>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</si>
  <si>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</si>
  <si>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</si>
  <si>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</si>
  <si>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</si>
  <si>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</si>
  <si>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</si>
  <si>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</si>
  <si>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</si>
  <si>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</si>
  <si>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</si>
  <si>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</si>
  <si>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</si>
  <si>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</si>
  <si>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</si>
  <si>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</si>
  <si>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</si>
  <si>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</si>
  <si>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</si>
  <si>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</si>
  <si>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</si>
  <si>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</si>
  <si>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</si>
  <si>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</si>
  <si>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</si>
  <si>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</si>
  <si>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</si>
  <si>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</si>
  <si>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</si>
  <si>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</si>
  <si>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</si>
  <si>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</si>
  <si>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</si>
  <si>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</si>
  <si>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</si>
  <si>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</si>
  <si>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</si>
  <si>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</si>
  <si>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</si>
  <si>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</si>
  <si>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</si>
  <si>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</si>
  <si>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</si>
  <si>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</si>
  <si>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</si>
  <si>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</si>
  <si>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</si>
  <si>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</si>
  <si>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</si>
  <si>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</si>
  <si>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</si>
  <si>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</si>
  <si>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</si>
  <si>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</si>
  <si>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</si>
  <si>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</si>
  <si>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</si>
  <si>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</si>
  <si>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</si>
  <si>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</si>
  <si>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</si>
  <si>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</si>
  <si>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</si>
  <si>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</si>
  <si>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</si>
  <si>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</si>
  <si>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</si>
  <si>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</si>
  <si>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</si>
  <si>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</si>
  <si>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</si>
  <si>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</si>
  <si>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</si>
  <si>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</si>
  <si>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</si>
  <si>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</si>
  <si>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</si>
  <si>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</si>
  <si>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</si>
  <si>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</si>
  <si>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</si>
  <si>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</si>
  <si>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</si>
  <si>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</si>
  <si>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</si>
  <si>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</si>
  <si>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</si>
  <si>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</si>
  <si>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</si>
  <si>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</si>
  <si>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</si>
  <si>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</si>
  <si>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</si>
  <si>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</si>
  <si>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</si>
  <si>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</si>
  <si>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</si>
  <si>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</si>
  <si>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</si>
  <si>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</si>
  <si>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</si>
  <si>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</si>
  <si>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</si>
  <si>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</si>
  <si>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</si>
  <si>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</si>
  <si>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</si>
  <si>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</si>
  <si>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</si>
  <si>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</si>
  <si>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</si>
  <si>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</si>
  <si>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</si>
  <si>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</si>
  <si>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</si>
  <si>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</si>
  <si>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</si>
  <si>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</si>
  <si>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</si>
  <si>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</si>
  <si>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</si>
  <si>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</si>
  <si>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</si>
  <si>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</si>
  <si>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</si>
  <si>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</si>
  <si>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</si>
  <si>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</si>
  <si>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</si>
  <si>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</si>
  <si>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</si>
  <si>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</si>
  <si>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</si>
  <si>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</si>
  <si>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</si>
  <si>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</si>
  <si>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</si>
  <si>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</si>
  <si>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</si>
  <si>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</si>
  <si>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</si>
  <si>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</si>
  <si>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</si>
  <si>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</si>
  <si>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</si>
  <si>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</si>
  <si>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</si>
  <si>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</si>
  <si>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</si>
  <si>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</si>
  <si>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</si>
  <si>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</si>
  <si>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</si>
  <si>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</si>
  <si>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</si>
  <si>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</si>
  <si>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</si>
  <si>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</si>
  <si>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</si>
  <si>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</si>
  <si>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</si>
  <si>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</si>
  <si>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</si>
  <si>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</si>
  <si>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</si>
  <si>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</si>
  <si>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</si>
  <si>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</si>
  <si>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</si>
  <si>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</si>
  <si>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</si>
  <si>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</si>
  <si>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</si>
  <si>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</si>
  <si>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</si>
  <si>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</si>
  <si>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</si>
  <si>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</si>
  <si>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</si>
  <si>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</si>
  <si>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</si>
  <si>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</si>
  <si>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</si>
  <si>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</si>
  <si>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</si>
  <si>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</si>
  <si>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</si>
  <si>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</si>
  <si>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</si>
  <si>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</si>
  <si>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</si>
  <si>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</si>
  <si>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</si>
  <si>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</si>
  <si>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</si>
  <si>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</si>
  <si>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</si>
  <si>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</si>
  <si>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</si>
  <si>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</si>
  <si>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</si>
  <si>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</si>
  <si>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</si>
  <si>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</si>
  <si>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</si>
  <si>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</si>
  <si>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</si>
  <si>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</si>
  <si>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</si>
  <si>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</si>
  <si>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</si>
  <si>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</si>
  <si>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</si>
  <si>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</si>
  <si>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</si>
  <si>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</si>
  <si>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</si>
  <si>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</si>
  <si>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</si>
  <si>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</si>
  <si>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</si>
  <si>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</si>
  <si>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</si>
  <si>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</si>
  <si>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</si>
  <si>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</si>
  <si>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</si>
  <si>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</si>
  <si>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</si>
  <si>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</si>
  <si>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</si>
  <si>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</si>
  <si>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</si>
  <si>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</si>
  <si>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</si>
  <si>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</si>
  <si>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</si>
  <si>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</si>
  <si>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</si>
  <si>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</si>
  <si>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</si>
  <si>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</si>
  <si>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</si>
  <si>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</si>
  <si>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</si>
  <si>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</si>
  <si>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</si>
  <si>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</si>
  <si>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</si>
  <si>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</si>
  <si>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</si>
  <si>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</si>
  <si>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</si>
  <si>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</si>
  <si>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</si>
  <si>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</si>
  <si>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</si>
  <si>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</si>
  <si>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</si>
  <si>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</si>
  <si>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</si>
  <si>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</si>
  <si>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</si>
  <si>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</si>
  <si>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</si>
  <si>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</si>
  <si>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</si>
  <si>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</si>
  <si>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</si>
  <si>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</si>
  <si>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</si>
  <si>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</si>
  <si>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</si>
  <si>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</si>
  <si>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</si>
  <si>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</si>
  <si>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</si>
  <si>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</si>
  <si>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</si>
  <si>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</si>
  <si>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</si>
  <si>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</si>
  <si>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</si>
  <si>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</si>
  <si>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</si>
  <si>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</si>
  <si>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</si>
  <si>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</si>
  <si>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</si>
  <si>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</si>
  <si>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</si>
  <si>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</si>
  <si>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</si>
  <si>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</si>
  <si>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</si>
  <si>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</si>
  <si>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</si>
  <si>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</si>
  <si>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</si>
  <si>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</si>
  <si>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</si>
  <si>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</si>
  <si>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</si>
  <si>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</si>
  <si>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</si>
  <si>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</si>
  <si>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</si>
  <si>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</si>
  <si>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</si>
  <si>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</si>
  <si>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</si>
  <si>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</si>
  <si>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</si>
  <si>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</si>
  <si>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</si>
  <si>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</si>
  <si>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</si>
  <si>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</si>
  <si>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</si>
  <si>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</si>
  <si>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</si>
  <si>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</si>
  <si>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</si>
  <si>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</si>
  <si>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</si>
  <si>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</si>
  <si>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</si>
  <si>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</si>
  <si>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</si>
  <si>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</si>
  <si>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</si>
  <si>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</si>
  <si>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</si>
  <si>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</si>
  <si>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</si>
  <si>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</si>
  <si>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</si>
  <si>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</si>
  <si>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</si>
  <si>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</si>
  <si>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</si>
  <si>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</si>
  <si>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</si>
  <si>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</si>
  <si>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</si>
  <si>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</si>
  <si>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</si>
  <si>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</si>
  <si>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</si>
  <si>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</si>
  <si>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</si>
  <si>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</si>
  <si>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</si>
  <si>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</si>
  <si>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</si>
  <si>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</si>
  <si>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</si>
  <si>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</si>
  <si>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</si>
  <si>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</si>
  <si>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</si>
  <si>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</si>
  <si>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</si>
  <si>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</si>
  <si>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</si>
  <si>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</si>
  <si>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</si>
  <si>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</si>
  <si>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</si>
  <si>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</si>
  <si>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</si>
  <si>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</si>
  <si>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</si>
  <si>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</si>
  <si>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</si>
  <si>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</si>
  <si>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</si>
  <si>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</si>
  <si>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</si>
  <si>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</si>
  <si>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</si>
  <si>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</si>
  <si>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</si>
  <si>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</si>
  <si>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</si>
  <si>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</si>
  <si>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</si>
  <si>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</si>
  <si>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</si>
  <si>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</si>
  <si>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</si>
  <si>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</si>
  <si>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</si>
  <si>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</si>
  <si>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</si>
  <si>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</si>
  <si>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</si>
  <si>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</si>
  <si>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</si>
  <si>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</si>
  <si>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</si>
  <si>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</si>
  <si>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</si>
  <si>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</si>
  <si>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</si>
  <si>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</si>
  <si>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</si>
  <si>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</si>
  <si>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</si>
  <si>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</si>
  <si>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</si>
  <si>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</si>
  <si>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</si>
  <si>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</si>
  <si>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</si>
  <si>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</si>
  <si>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</si>
  <si>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</si>
  <si>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</si>
  <si>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</si>
  <si>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</si>
  <si>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</si>
  <si>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</si>
  <si>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</si>
  <si>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</si>
  <si>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</si>
  <si>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</si>
  <si>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</si>
  <si>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</si>
  <si>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</si>
  <si>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</si>
  <si>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</si>
  <si>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</si>
  <si>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</si>
  <si>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</si>
  <si>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</si>
  <si>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</si>
  <si>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</si>
  <si>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</si>
  <si>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</si>
  <si>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</si>
  <si>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</si>
  <si>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</si>
  <si>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</si>
  <si>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</si>
  <si>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</si>
  <si>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</si>
  <si>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</si>
  <si>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</si>
  <si>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</si>
  <si>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</si>
  <si>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</si>
  <si>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</si>
  <si>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</si>
  <si>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</si>
  <si>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</si>
  <si>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</si>
  <si>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</si>
  <si>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</si>
  <si>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</si>
  <si>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</si>
  <si>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</si>
  <si>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</si>
  <si>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</si>
  <si>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</si>
  <si>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</si>
  <si>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</si>
  <si>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</si>
  <si>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</si>
  <si>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</si>
  <si>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</si>
  <si>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</si>
  <si>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</si>
  <si>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</si>
  <si>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</si>
  <si>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</si>
  <si>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</si>
  <si>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</si>
  <si>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</si>
  <si>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</si>
  <si>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</si>
  <si>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</si>
  <si>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</si>
  <si>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</si>
  <si>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</si>
  <si>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</si>
  <si>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</si>
  <si>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</si>
  <si>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</si>
  <si>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</si>
  <si>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</si>
  <si>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</si>
  <si>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</si>
  <si>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</si>
  <si>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</si>
  <si>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</si>
  <si>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</si>
  <si>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</si>
  <si>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</si>
  <si>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</si>
  <si>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</si>
  <si>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</si>
  <si>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</si>
  <si>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</si>
  <si>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</si>
  <si>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</si>
  <si>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</si>
  <si>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</si>
  <si>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</si>
  <si>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</si>
  <si>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</si>
  <si>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</si>
  <si>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</si>
  <si>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</si>
  <si>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</si>
  <si>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</si>
  <si>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</si>
  <si>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</si>
  <si>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</si>
  <si>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</si>
  <si>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</si>
  <si>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</si>
  <si>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</si>
  <si>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</si>
  <si>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</si>
  <si>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</si>
  <si>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</si>
  <si>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</si>
  <si>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</si>
  <si>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</si>
  <si>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</si>
  <si>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</si>
  <si>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</si>
  <si>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</si>
  <si>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</si>
  <si>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</si>
  <si>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</si>
  <si>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</si>
  <si>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</si>
  <si>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</si>
  <si>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</si>
  <si>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</si>
  <si>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</si>
  <si>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</si>
  <si>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</si>
  <si>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</si>
  <si>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</si>
  <si>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</si>
  <si>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</si>
  <si>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</si>
  <si>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</si>
  <si>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</si>
  <si>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</si>
  <si>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</si>
  <si>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</si>
  <si>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</si>
  <si>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</si>
  <si>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</si>
  <si>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</si>
  <si>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</si>
  <si>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</si>
  <si>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</si>
  <si>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</si>
  <si>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</si>
  <si>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</si>
  <si>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</si>
  <si>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</si>
  <si>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</si>
  <si>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</si>
  <si>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</si>
  <si>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</si>
  <si>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</si>
  <si>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</si>
  <si>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</si>
  <si>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</si>
  <si>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</si>
  <si>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</si>
  <si>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</si>
  <si>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</si>
  <si>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</si>
  <si>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</si>
  <si>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</si>
  <si>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</si>
  <si>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</si>
  <si>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</si>
  <si>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</si>
  <si>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</si>
  <si>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</si>
  <si>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</si>
  <si>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</si>
  <si>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</si>
  <si>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</si>
  <si>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</si>
  <si>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</si>
  <si>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</si>
  <si>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</si>
  <si>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</si>
  <si>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</si>
  <si>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</si>
  <si>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</si>
  <si>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</si>
  <si>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</si>
  <si>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</si>
  <si>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</si>
  <si>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</si>
  <si>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</si>
  <si>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</si>
  <si>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</si>
  <si>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</si>
  <si>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</si>
  <si>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</si>
  <si>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</si>
  <si>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</si>
  <si>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</si>
  <si>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</si>
  <si>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</si>
  <si>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</si>
  <si>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</si>
  <si>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</si>
  <si>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</si>
  <si>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</si>
  <si>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</si>
  <si>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</si>
  <si>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</si>
  <si>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</si>
  <si>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</si>
  <si>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</si>
  <si>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</si>
  <si>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</si>
  <si>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</si>
  <si>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</si>
  <si>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</si>
  <si>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</si>
  <si>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</si>
  <si>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</si>
  <si>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</si>
  <si>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</si>
  <si>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</si>
  <si>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</si>
  <si>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</si>
  <si>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</si>
  <si>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</si>
  <si>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</si>
  <si>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</si>
  <si>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</si>
  <si>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</si>
  <si>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</si>
  <si>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</si>
  <si>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</si>
  <si>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</si>
  <si>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</si>
  <si>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</si>
  <si>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</si>
  <si>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</si>
  <si>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</si>
  <si>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</si>
  <si>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</si>
  <si>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</si>
  <si>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</si>
  <si>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</si>
  <si>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</si>
  <si>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</si>
  <si>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</si>
  <si>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</si>
  <si>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</si>
  <si>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</si>
  <si>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</si>
  <si>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</si>
  <si>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</si>
  <si>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</si>
  <si>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</si>
  <si>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</si>
  <si>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</si>
  <si>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</si>
  <si>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</si>
  <si>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</si>
  <si>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</si>
  <si>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</si>
  <si>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</si>
  <si>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</si>
  <si>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</si>
  <si>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</si>
  <si>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</si>
  <si>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</si>
  <si>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</si>
  <si>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</si>
  <si>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</si>
  <si>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</si>
  <si>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</si>
  <si>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</si>
  <si>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</si>
  <si>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</si>
  <si>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</si>
  <si>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</si>
  <si>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</si>
  <si>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</si>
  <si>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</si>
  <si>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</si>
  <si>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</si>
  <si>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</si>
  <si>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</si>
  <si>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</si>
  <si>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</si>
  <si>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</si>
  <si>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</si>
  <si>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</si>
  <si>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</si>
  <si>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</si>
  <si>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</si>
  <si>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</si>
  <si>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</si>
  <si>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</si>
  <si>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</si>
  <si>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</si>
  <si>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</si>
  <si>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</si>
  <si>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</si>
  <si>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</si>
  <si>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</si>
  <si>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</si>
  <si>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</si>
  <si>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</si>
  <si>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</si>
  <si>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</si>
  <si>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</si>
  <si>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</si>
  <si>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</si>
  <si>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</si>
  <si>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</si>
  <si>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</si>
  <si>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</si>
  <si>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</si>
  <si>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</si>
  <si>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</si>
  <si>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</si>
  <si>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</si>
  <si>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</si>
  <si>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</si>
  <si>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</si>
  <si>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</si>
  <si>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</si>
  <si>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</si>
  <si>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</si>
  <si>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</si>
  <si>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</si>
  <si>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</si>
  <si>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</si>
  <si>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</si>
  <si>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</si>
  <si>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</si>
  <si>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</si>
  <si>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</si>
  <si>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</si>
  <si>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</si>
  <si>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</si>
  <si>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</si>
  <si>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</si>
  <si>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</si>
  <si>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</si>
  <si>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</si>
  <si>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</si>
  <si>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</si>
  <si>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</si>
  <si>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</si>
  <si>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</si>
  <si>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</si>
  <si>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</si>
  <si>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</si>
  <si>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</si>
  <si>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</si>
  <si>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</si>
  <si>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</si>
  <si>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</si>
  <si>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</si>
  <si>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</si>
  <si>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</si>
  <si>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</si>
  <si>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</si>
  <si>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</si>
  <si>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</si>
  <si>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</si>
  <si>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</si>
  <si>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</si>
  <si>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</si>
  <si>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</si>
  <si>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</si>
  <si>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</si>
  <si>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</si>
  <si>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</si>
  <si>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</si>
  <si>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</si>
  <si>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</si>
  <si>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</si>
  <si>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</si>
  <si>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</si>
  <si>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</si>
  <si>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</si>
  <si>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</si>
  <si>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</si>
  <si>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</si>
  <si>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</si>
  <si>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</si>
  <si>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</si>
  <si>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</si>
  <si>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</si>
  <si>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</si>
  <si>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</si>
  <si>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</si>
  <si>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</si>
  <si>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</si>
  <si>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</si>
  <si>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</si>
  <si>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</si>
  <si>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</si>
  <si>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</si>
  <si>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</si>
  <si>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</si>
  <si>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</si>
  <si>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</si>
  <si>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</si>
  <si>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</si>
  <si>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</si>
  <si>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</si>
  <si>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</si>
  <si>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</si>
  <si>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</si>
  <si>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</si>
  <si>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</si>
  <si>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</si>
  <si>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</si>
  <si>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</si>
  <si>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</si>
  <si>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</si>
  <si>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</si>
  <si>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</si>
  <si>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</si>
  <si>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</si>
  <si>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</si>
  <si>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</si>
  <si>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</si>
  <si>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</si>
  <si>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</si>
  <si>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</si>
  <si>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</si>
  <si>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</si>
  <si>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</si>
  <si>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</si>
  <si>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</si>
  <si>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</si>
  <si>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</si>
  <si>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</si>
  <si>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</si>
  <si>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</si>
  <si>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</si>
  <si>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</si>
  <si>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</si>
  <si>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</si>
  <si>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</si>
  <si>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</si>
  <si>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</si>
  <si>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</si>
  <si>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</si>
  <si>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</si>
  <si>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</si>
  <si>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</si>
  <si>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</si>
  <si>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</si>
  <si>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</si>
  <si>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</si>
  <si>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</si>
  <si>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</si>
  <si>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</si>
  <si>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</si>
  <si>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</si>
  <si>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</si>
  <si>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</si>
  <si>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</si>
  <si>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</si>
  <si>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</si>
  <si>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</si>
  <si>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</si>
  <si>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</si>
  <si>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</si>
  <si>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</si>
  <si>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</si>
  <si>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</si>
  <si>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</si>
  <si>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</si>
  <si>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</si>
  <si>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</si>
  <si>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</si>
  <si>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</si>
  <si>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</si>
  <si>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</si>
  <si>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</si>
  <si>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</si>
  <si>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</si>
  <si>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</si>
  <si>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</si>
  <si>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</si>
  <si>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</si>
  <si>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</si>
  <si>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</si>
  <si>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</si>
  <si>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</si>
  <si>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</si>
  <si>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</si>
  <si>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</si>
  <si>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</si>
  <si>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</si>
  <si>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</si>
  <si>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</si>
  <si>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</si>
  <si>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</si>
  <si>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</si>
  <si>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</si>
  <si>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</si>
  <si>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</si>
  <si>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</si>
  <si>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</si>
  <si>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</si>
  <si>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</si>
  <si>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</si>
  <si>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</si>
  <si>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</si>
  <si>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</si>
  <si>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</si>
  <si>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</si>
  <si>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</si>
  <si>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</si>
  <si>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</si>
  <si>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</si>
  <si>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</si>
  <si>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</si>
  <si>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</si>
  <si>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</si>
  <si>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</si>
  <si>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</si>
  <si>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</si>
  <si>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</si>
  <si>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</si>
  <si>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</si>
  <si>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</si>
  <si>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</si>
  <si>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</si>
  <si>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</si>
  <si>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</si>
  <si>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</si>
  <si>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</si>
  <si>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</si>
  <si>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</si>
  <si>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</si>
  <si>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</si>
  <si>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</si>
  <si>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</si>
  <si>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</si>
  <si>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</si>
  <si>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</si>
  <si>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</si>
  <si>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</si>
  <si>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</si>
  <si>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</si>
  <si>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</si>
  <si>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</si>
  <si>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</si>
  <si>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</si>
  <si>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</si>
  <si>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</si>
  <si>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</si>
  <si>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</si>
  <si>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</si>
  <si>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</si>
  <si>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</si>
  <si>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</si>
  <si>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</si>
  <si>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</si>
  <si>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</si>
  <si>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</si>
  <si>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</si>
  <si>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</si>
  <si>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</si>
  <si>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</si>
  <si>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</si>
  <si>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</si>
  <si>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</si>
  <si>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</si>
  <si>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</si>
  <si>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</si>
  <si>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</si>
  <si>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</si>
  <si>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</si>
  <si>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</si>
  <si>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</si>
  <si>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</si>
  <si>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</si>
  <si>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</si>
  <si>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</si>
  <si>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</si>
  <si>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</si>
  <si>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</si>
  <si>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</si>
  <si>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</si>
  <si>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</si>
  <si>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</si>
  <si>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</si>
  <si>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</si>
  <si>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</si>
  <si>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</si>
  <si>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</si>
  <si>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</si>
  <si>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</si>
  <si>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</si>
  <si>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</si>
  <si>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</si>
  <si>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</si>
  <si>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</si>
  <si>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</si>
  <si>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</si>
  <si>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</si>
  <si>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</si>
  <si>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</si>
  <si>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</si>
  <si>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</si>
  <si>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</si>
  <si>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</si>
  <si>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</si>
  <si>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</si>
  <si>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</si>
  <si>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</si>
  <si>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</si>
  <si>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</si>
  <si>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</si>
  <si>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</si>
  <si>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</si>
  <si>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</si>
  <si>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</si>
  <si>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</si>
  <si>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</si>
  <si>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</si>
  <si>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</si>
  <si>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</si>
  <si>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</si>
  <si>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</si>
  <si>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</si>
  <si>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</si>
  <si>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</si>
  <si>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</si>
  <si>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</si>
  <si>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</si>
  <si>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</si>
  <si>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</si>
  <si>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</si>
  <si>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</si>
  <si>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</si>
  <si>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</si>
  <si>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</si>
  <si>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</si>
  <si>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</si>
  <si>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</si>
  <si>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</si>
  <si>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</si>
  <si>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</si>
  <si>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</si>
  <si>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</si>
  <si>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</si>
  <si>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</si>
  <si>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</si>
  <si>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</si>
  <si>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</si>
  <si>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</si>
  <si>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</si>
  <si>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</si>
  <si>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</si>
  <si>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</si>
  <si>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</si>
  <si>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</si>
  <si>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</si>
  <si>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</si>
  <si>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</si>
  <si>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</si>
  <si>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</si>
  <si>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</si>
  <si>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</si>
  <si>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</si>
  <si>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</si>
  <si>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</si>
  <si>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</si>
  <si>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</si>
  <si>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</si>
  <si>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</si>
  <si>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</si>
  <si>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</si>
  <si>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</si>
  <si>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</si>
  <si>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</si>
  <si>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</si>
  <si>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</si>
  <si>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</si>
  <si>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</si>
  <si>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</si>
  <si>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</si>
  <si>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</si>
  <si>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</si>
  <si>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</si>
  <si>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</si>
  <si>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</si>
  <si>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</si>
  <si>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</si>
  <si>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</si>
  <si>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</si>
  <si>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</si>
  <si>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</si>
  <si>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</si>
  <si>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</si>
  <si>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</si>
  <si>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</si>
  <si>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</si>
  <si>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</si>
  <si>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</si>
  <si>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</si>
  <si>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</si>
  <si>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</si>
  <si>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</si>
  <si>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</si>
  <si>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</si>
  <si>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</si>
  <si>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</si>
  <si>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</si>
  <si>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</si>
  <si>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</si>
  <si>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</si>
  <si>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</si>
  <si>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</si>
  <si>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</si>
  <si>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</si>
  <si>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</si>
  <si>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</si>
  <si>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</si>
  <si>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</si>
  <si>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</si>
  <si>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</si>
  <si>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</si>
  <si>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</si>
  <si>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</si>
  <si>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</si>
  <si>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</si>
  <si>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</si>
  <si>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</si>
  <si>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</si>
  <si>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</si>
  <si>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</si>
  <si>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</si>
  <si>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</si>
  <si>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</si>
  <si>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</si>
  <si>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</si>
  <si>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</si>
  <si>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</si>
  <si>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</si>
  <si>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</si>
  <si>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</si>
  <si>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</si>
  <si>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</si>
  <si>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</si>
  <si>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</si>
  <si>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</si>
  <si>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</si>
  <si>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</si>
  <si>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</si>
  <si>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</si>
  <si>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</si>
  <si>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</si>
  <si>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</si>
  <si>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</si>
  <si>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</si>
  <si>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</si>
  <si>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</si>
  <si>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</si>
  <si>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</si>
  <si>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</si>
  <si>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</si>
  <si>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</si>
  <si>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</si>
  <si>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</si>
  <si>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</si>
  <si>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</si>
  <si>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</si>
  <si>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</si>
  <si>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</si>
  <si>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</si>
  <si>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</si>
  <si>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</si>
  <si>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</si>
  <si>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</si>
  <si>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</si>
  <si>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</si>
  <si>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</si>
  <si>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</si>
  <si>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</si>
  <si>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</si>
  <si>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</si>
  <si>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</si>
  <si>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</si>
  <si>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</si>
  <si>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</si>
  <si>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</si>
  <si>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</si>
  <si>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</si>
  <si>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</si>
  <si>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</si>
  <si>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</si>
  <si>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</si>
  <si>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</si>
  <si>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</si>
  <si>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</si>
  <si>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</si>
  <si>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</si>
  <si>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</si>
  <si>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</si>
  <si>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</si>
  <si>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</si>
  <si>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</si>
  <si>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</si>
  <si>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</si>
  <si>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</si>
  <si>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</si>
  <si>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</si>
  <si>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</si>
  <si>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</si>
  <si>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</si>
  <si>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</si>
  <si>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</si>
  <si>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</si>
  <si>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</si>
  <si>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</si>
  <si>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</si>
  <si>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</si>
  <si>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</si>
  <si>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</si>
  <si>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</si>
  <si>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</si>
  <si>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</si>
  <si>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</si>
  <si>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</si>
  <si>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</si>
  <si>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</si>
  <si>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</si>
  <si>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</si>
  <si>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</si>
  <si>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</si>
  <si>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</si>
  <si>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</si>
  <si>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</si>
  <si>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</si>
  <si>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</si>
  <si>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</si>
  <si>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</si>
  <si>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</si>
  <si>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</si>
  <si>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</si>
  <si>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</si>
  <si>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</si>
  <si>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</si>
  <si>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</si>
  <si>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</si>
  <si>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</si>
  <si>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</si>
  <si>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</si>
  <si>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</si>
  <si>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</si>
  <si>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</si>
  <si>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</si>
  <si>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</si>
  <si>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</si>
  <si>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</si>
  <si>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</si>
  <si>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</si>
  <si>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</si>
  <si>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</si>
  <si>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</si>
  <si>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</si>
  <si>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</si>
  <si>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</si>
  <si>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</si>
  <si>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</si>
  <si>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</si>
  <si>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</si>
  <si>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</si>
  <si>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</si>
  <si>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</si>
  <si>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</si>
  <si>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</si>
  <si>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</si>
  <si>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</si>
  <si>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</si>
  <si>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</si>
  <si>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</si>
  <si>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</si>
  <si>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</si>
  <si>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</si>
  <si>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</si>
  <si>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</si>
  <si>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</si>
  <si>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</si>
  <si>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</si>
  <si>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</si>
  <si>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</si>
  <si>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</si>
  <si>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</si>
  <si>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</si>
  <si>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</si>
  <si>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</si>
  <si>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</si>
  <si>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</si>
  <si>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</si>
  <si>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</si>
  <si>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</si>
  <si>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</si>
  <si>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</si>
  <si>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</si>
  <si>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</si>
  <si>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</si>
  <si>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</si>
  <si>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</si>
  <si>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</si>
  <si>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</si>
  <si>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</si>
  <si>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</si>
  <si>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</si>
  <si>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</si>
  <si>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</si>
  <si>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</si>
  <si>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</si>
  <si>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</si>
  <si>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</si>
  <si>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</si>
  <si>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</si>
  <si>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</si>
  <si>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</si>
  <si>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</si>
  <si>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</si>
  <si>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</si>
  <si>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</si>
  <si>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</si>
  <si>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</si>
  <si>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</si>
  <si>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</si>
  <si>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</si>
  <si>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</si>
  <si>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</si>
  <si>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</si>
  <si>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</si>
  <si>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</si>
  <si>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</si>
  <si>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</si>
  <si>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</si>
  <si>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</si>
  <si>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</si>
  <si>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</si>
  <si>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</si>
  <si>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</si>
  <si>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</si>
  <si>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</si>
  <si>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</si>
  <si>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</si>
  <si>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</si>
  <si>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</si>
  <si>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</si>
  <si>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</si>
  <si>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</si>
  <si>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</si>
  <si>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</si>
  <si>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</si>
  <si>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</si>
  <si>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</si>
  <si>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</si>
  <si>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</si>
  <si>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</si>
  <si>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</si>
  <si>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</si>
  <si>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</si>
  <si>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</si>
  <si>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</si>
  <si>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</si>
  <si>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</si>
  <si>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</si>
  <si>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</si>
  <si>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</si>
  <si>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</si>
  <si>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</si>
  <si>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</si>
  <si>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</si>
  <si>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</si>
  <si>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</si>
  <si>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</si>
  <si>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</si>
  <si>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</si>
  <si>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</si>
  <si>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</si>
  <si>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</si>
  <si>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</si>
  <si>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</si>
  <si>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</si>
  <si>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</si>
  <si>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</si>
  <si>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</si>
  <si>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</si>
  <si>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</si>
  <si>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</si>
  <si>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</si>
  <si>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</si>
  <si>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</si>
  <si>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</si>
  <si>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</si>
  <si>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</si>
  <si>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</si>
  <si>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</si>
  <si>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</si>
  <si>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</si>
  <si>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</si>
  <si>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</si>
  <si>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</si>
  <si>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</si>
  <si>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</si>
  <si>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</si>
  <si>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</si>
  <si>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</si>
  <si>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</si>
  <si>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</si>
  <si>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</si>
  <si>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</si>
  <si>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</si>
  <si>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</si>
  <si>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</si>
  <si>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</si>
  <si>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</si>
  <si>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</si>
  <si>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</si>
  <si>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</si>
  <si>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</si>
  <si>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</si>
  <si>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</si>
  <si>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</si>
  <si>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</si>
  <si>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</si>
  <si>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</si>
  <si>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</si>
  <si>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</si>
  <si>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</si>
  <si>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</si>
  <si>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</si>
  <si>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</si>
  <si>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</si>
  <si>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</si>
  <si>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</si>
  <si>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</si>
  <si>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</si>
  <si>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</si>
  <si>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</si>
  <si>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</si>
  <si>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</si>
  <si>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</si>
  <si>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</si>
  <si>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</si>
  <si>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</si>
  <si>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</si>
  <si>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</si>
  <si>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</si>
  <si>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</si>
  <si>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</si>
  <si>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</si>
  <si>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</si>
  <si>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</si>
  <si>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</si>
  <si>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</si>
  <si>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</si>
  <si>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</si>
  <si>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</si>
  <si>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</si>
  <si>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</si>
  <si>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</si>
  <si>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</si>
  <si>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</si>
  <si>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</si>
  <si>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</si>
  <si>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</si>
  <si>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</si>
  <si>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</si>
  <si>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</si>
  <si>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</si>
  <si>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</si>
  <si>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</si>
  <si>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</si>
  <si>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</si>
  <si>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</si>
  <si>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</si>
  <si>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</si>
  <si>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</si>
  <si>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</si>
  <si>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</si>
  <si>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</si>
  <si>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</si>
  <si>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</si>
  <si>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</si>
  <si>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</si>
  <si>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</si>
  <si>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</si>
  <si>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</si>
  <si>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</si>
  <si>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</si>
  <si>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</si>
  <si>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</si>
  <si>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</si>
  <si>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</si>
  <si>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</si>
  <si>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</si>
  <si>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</si>
  <si>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</si>
  <si>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</si>
  <si>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</si>
  <si>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</si>
  <si>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</si>
  <si>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</si>
  <si>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</si>
  <si>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</si>
  <si>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</si>
  <si>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</si>
  <si>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</si>
  <si>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</si>
  <si>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</si>
  <si>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</si>
  <si>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</si>
  <si>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</si>
  <si>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</si>
  <si>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</si>
  <si>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</si>
  <si>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</si>
  <si>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</si>
  <si>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</si>
  <si>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</si>
  <si>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</si>
  <si>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</si>
  <si>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</si>
  <si>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</si>
  <si>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</si>
  <si>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</si>
  <si>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</si>
  <si>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</si>
  <si>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</si>
  <si>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</si>
  <si>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</si>
  <si>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</si>
  <si>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</si>
  <si>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</si>
  <si>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</si>
  <si>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</si>
  <si>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</si>
  <si>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</si>
  <si>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</si>
  <si>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</si>
  <si>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</si>
  <si>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</si>
  <si>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</si>
  <si>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</si>
  <si>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</si>
  <si>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</si>
  <si>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</si>
  <si>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</si>
  <si>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</si>
  <si>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</si>
  <si>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</si>
  <si>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</si>
  <si>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</si>
  <si>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</si>
  <si>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</si>
  <si>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</si>
  <si>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</si>
  <si>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</si>
  <si>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</si>
  <si>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</si>
  <si>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</si>
  <si>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</si>
  <si>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</si>
  <si>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</si>
  <si>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</si>
  <si>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</si>
  <si>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</si>
  <si>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</si>
  <si>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</si>
  <si>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</si>
  <si>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</si>
  <si>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</si>
  <si>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</si>
  <si>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</si>
  <si>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</si>
  <si>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</si>
  <si>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</si>
  <si>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</si>
  <si>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</si>
  <si>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</si>
  <si>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</si>
  <si>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</si>
  <si>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</si>
  <si>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</si>
  <si>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</si>
  <si>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</si>
  <si>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</si>
  <si>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</si>
  <si>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</si>
  <si>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</si>
  <si>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</si>
  <si>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</si>
  <si>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</si>
  <si>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</si>
  <si>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</si>
  <si>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</si>
  <si>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</si>
  <si>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</si>
  <si>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</si>
  <si>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</si>
  <si>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</si>
  <si>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</si>
  <si>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</si>
  <si>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</si>
  <si>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</si>
  <si>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</si>
  <si>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</si>
  <si>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</si>
  <si>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</si>
  <si>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</si>
  <si>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</si>
  <si>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</si>
  <si>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</si>
  <si>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</si>
  <si>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</si>
  <si>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</si>
  <si>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</si>
  <si>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</si>
  <si>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</si>
  <si>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</si>
  <si>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</si>
  <si>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</si>
  <si>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</si>
  <si>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</si>
  <si>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</si>
  <si>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</si>
  <si>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</si>
  <si>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</si>
  <si>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</si>
  <si>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</si>
  <si>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</si>
  <si>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</si>
  <si>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</si>
  <si>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</si>
  <si>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</si>
  <si>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</si>
  <si>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</si>
  <si>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</si>
  <si>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</si>
  <si>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</si>
  <si>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</si>
  <si>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</si>
  <si>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</si>
  <si>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</si>
  <si>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</si>
  <si>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</si>
  <si>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</si>
  <si>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</si>
  <si>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</si>
  <si>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</si>
  <si>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</si>
  <si>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</si>
  <si>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</si>
  <si>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</si>
  <si>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</si>
  <si>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</si>
  <si>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</si>
  <si>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</si>
  <si>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</si>
  <si>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</si>
  <si>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</si>
  <si>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</si>
  <si>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</si>
  <si>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</si>
  <si>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</si>
  <si>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</si>
  <si>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</si>
  <si>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</si>
  <si>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</si>
  <si>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</si>
  <si>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</si>
  <si>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</si>
  <si>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</si>
  <si>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</si>
  <si>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</si>
  <si>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</si>
  <si>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</si>
  <si>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</si>
  <si>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</si>
  <si>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</si>
  <si>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</si>
  <si>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</si>
  <si>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</si>
  <si>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</si>
  <si>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</si>
  <si>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</si>
  <si>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</si>
  <si>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</si>
  <si>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</si>
  <si>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</si>
  <si>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</si>
  <si>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</si>
  <si>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</si>
  <si>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</si>
  <si>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</si>
  <si>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</si>
  <si>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</si>
  <si>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</si>
  <si>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</si>
  <si>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</si>
  <si>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</si>
  <si>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</si>
  <si>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</si>
  <si>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</si>
  <si>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</si>
  <si>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</si>
  <si>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</si>
  <si>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</si>
  <si>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</si>
  <si>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</si>
  <si>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</si>
  <si>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</si>
  <si>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</si>
  <si>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</si>
  <si>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</si>
  <si>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</si>
  <si>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</si>
  <si>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</si>
  <si>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</si>
  <si>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</si>
  <si>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</si>
  <si>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</si>
  <si>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</si>
  <si>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</si>
  <si>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</si>
  <si>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</si>
  <si>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</si>
  <si>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</si>
  <si>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</si>
  <si>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</si>
  <si>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</si>
  <si>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</si>
  <si>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</si>
  <si>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</si>
  <si>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</si>
  <si>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</si>
  <si>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</si>
  <si>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</si>
  <si>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</si>
  <si>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</si>
  <si>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</si>
  <si>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</si>
  <si>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</si>
  <si>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</si>
  <si>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</si>
  <si>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</si>
  <si>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</si>
  <si>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</si>
  <si>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</si>
  <si>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</si>
  <si>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</si>
  <si>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</si>
  <si>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</si>
  <si>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</si>
  <si>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</si>
  <si>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</si>
  <si>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</si>
  <si>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</si>
  <si>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</si>
  <si>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</si>
  <si>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</si>
  <si>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</si>
  <si>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</si>
  <si>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</si>
  <si>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</si>
  <si>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</si>
  <si>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</si>
  <si>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</si>
  <si>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</si>
  <si>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</si>
  <si>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</si>
  <si>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</si>
  <si>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</si>
  <si>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</si>
  <si>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</si>
  <si>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</si>
  <si>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</si>
  <si>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</si>
  <si>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</si>
  <si>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</si>
  <si>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</si>
  <si>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</si>
  <si>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</si>
  <si>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</si>
  <si>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</si>
  <si>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</si>
  <si>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</si>
  <si>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</si>
  <si>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</si>
  <si>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</si>
  <si>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</si>
  <si>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</si>
  <si>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</si>
  <si>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</si>
  <si>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</si>
  <si>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</si>
  <si>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</si>
  <si>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</si>
  <si>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</si>
  <si>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</si>
  <si>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</si>
  <si>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</si>
  <si>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</si>
  <si>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</si>
  <si>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</si>
  <si>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</si>
  <si>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</si>
  <si>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</si>
  <si>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</si>
  <si>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</si>
  <si>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</si>
  <si>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</si>
  <si>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</si>
  <si>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</si>
  <si>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</si>
  <si>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</si>
  <si>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</si>
  <si>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</si>
  <si>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</si>
  <si>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</si>
  <si>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</si>
  <si>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</si>
  <si>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</si>
  <si>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</si>
  <si>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</si>
  <si>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</si>
  <si>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</si>
  <si>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</si>
  <si>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</si>
  <si>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</si>
  <si>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</si>
  <si>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</si>
  <si>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</si>
  <si>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</si>
  <si>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</si>
  <si>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</si>
  <si>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</si>
  <si>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</si>
  <si>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</si>
  <si>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</si>
  <si>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</si>
  <si>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</si>
  <si>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</si>
  <si>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</si>
  <si>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</si>
  <si>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</si>
  <si>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</si>
  <si>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</si>
  <si>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</si>
  <si>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</si>
  <si>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</si>
  <si>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</si>
  <si>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</si>
  <si>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</si>
  <si>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</si>
  <si>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</si>
  <si>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</si>
  <si>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</si>
  <si>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</si>
  <si>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</si>
  <si>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</si>
  <si>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</si>
  <si>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</si>
  <si>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</si>
  <si>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</si>
  <si>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</si>
  <si>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</si>
  <si>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</si>
  <si>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</si>
  <si>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</si>
  <si>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</si>
  <si>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</si>
  <si>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</si>
  <si>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</si>
  <si>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</si>
  <si>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</si>
  <si>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</si>
  <si>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</si>
  <si>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</si>
  <si>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</si>
  <si>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</si>
  <si>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</si>
  <si>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</si>
  <si>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</si>
  <si>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</si>
  <si>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</si>
  <si>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</si>
  <si>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</si>
  <si>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</si>
  <si>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</si>
  <si>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</si>
  <si>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</si>
  <si>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</si>
  <si>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</si>
  <si>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</si>
  <si>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</si>
  <si>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</si>
  <si>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</si>
  <si>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</si>
  <si>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</si>
  <si>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</si>
  <si>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</si>
  <si>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</si>
  <si>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</si>
  <si>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</si>
  <si>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</si>
  <si>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</si>
  <si>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</si>
  <si>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</si>
  <si>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</si>
  <si>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</si>
  <si>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</si>
  <si>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</si>
  <si>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</si>
  <si>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</si>
  <si>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</si>
  <si>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</si>
  <si>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</si>
  <si>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</si>
  <si>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</si>
  <si>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</si>
  <si>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</si>
  <si>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</si>
  <si>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</si>
  <si>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</si>
  <si>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</si>
  <si>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</si>
  <si>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</si>
  <si>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</si>
  <si>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</si>
  <si>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</si>
  <si>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</si>
  <si>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</si>
  <si>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</si>
  <si>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</si>
  <si>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</si>
  <si>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</si>
  <si>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</si>
  <si>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</si>
  <si>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</si>
  <si>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</si>
  <si>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</si>
  <si>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</si>
  <si>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</si>
  <si>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</si>
  <si>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</si>
  <si>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</si>
  <si>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</si>
  <si>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</si>
  <si>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</si>
  <si>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</si>
  <si>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</si>
  <si>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</si>
  <si>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</si>
  <si>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</si>
  <si>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</si>
  <si>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</si>
  <si>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</si>
  <si>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</si>
  <si>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</si>
  <si>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</si>
  <si>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</si>
  <si>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</si>
  <si>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</si>
  <si>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</si>
  <si>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</si>
  <si>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</si>
  <si>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</si>
  <si>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</si>
  <si>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</si>
  <si>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</si>
  <si>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</si>
  <si>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</si>
  <si>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</si>
  <si>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</si>
  <si>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</si>
  <si>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</si>
  <si>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</si>
  <si>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</si>
  <si>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</si>
  <si>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</si>
  <si>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</si>
  <si>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</si>
  <si>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</si>
  <si>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</si>
  <si>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</si>
  <si>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</si>
  <si>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</si>
  <si>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</si>
  <si>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</si>
  <si>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</si>
  <si>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</si>
  <si>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</si>
  <si>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</si>
  <si>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</si>
  <si>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</si>
  <si>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</si>
  <si>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</si>
  <si>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</si>
  <si>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</si>
  <si>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</si>
  <si>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</si>
  <si>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</si>
  <si>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</si>
  <si>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</si>
  <si>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</si>
  <si>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</si>
  <si>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</si>
  <si>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</si>
  <si>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</si>
  <si>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</si>
  <si>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</si>
  <si>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</si>
  <si>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</si>
  <si>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</si>
  <si>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</si>
  <si>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</si>
  <si>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</si>
  <si>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</si>
  <si>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</si>
  <si>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</si>
  <si>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</si>
  <si>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</si>
  <si>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</si>
  <si>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</si>
  <si>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</si>
  <si>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</si>
  <si>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</si>
  <si>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</si>
  <si>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</si>
  <si>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</si>
  <si>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</si>
  <si>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</si>
  <si>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</si>
  <si>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</si>
  <si>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</si>
  <si>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</si>
  <si>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</si>
  <si>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</si>
  <si>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</si>
  <si>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</si>
  <si>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</si>
  <si>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</si>
  <si>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</si>
  <si>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</si>
  <si>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</si>
  <si>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</si>
  <si>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</si>
  <si>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</si>
  <si>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</si>
  <si>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</si>
  <si>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</si>
  <si>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</si>
  <si>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</si>
  <si>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</si>
  <si>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</si>
  <si>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</si>
  <si>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</si>
  <si>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</si>
  <si>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</si>
  <si>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</si>
  <si>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</si>
  <si>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</si>
  <si>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</si>
  <si>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</si>
  <si>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</si>
  <si>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</si>
  <si>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</si>
  <si>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</si>
  <si>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</si>
  <si>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</si>
  <si>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</si>
  <si>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</si>
  <si>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</si>
  <si>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</si>
  <si>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</si>
  <si>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</si>
  <si>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</si>
  <si>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</si>
  <si>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</si>
  <si>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</si>
  <si>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</si>
  <si>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</si>
  <si>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</si>
  <si>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</si>
  <si>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</si>
  <si>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</si>
  <si>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</si>
  <si>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</si>
  <si>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</si>
  <si>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</si>
  <si>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</si>
  <si>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</si>
  <si>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</si>
  <si>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</si>
  <si>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</si>
  <si>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</si>
  <si>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</si>
  <si>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</si>
  <si>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</si>
  <si>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</si>
  <si>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</si>
  <si>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</si>
  <si>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</si>
  <si>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</si>
  <si>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</si>
  <si>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</si>
  <si>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</si>
  <si>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</si>
  <si>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</si>
  <si>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</si>
  <si>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</si>
  <si>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</si>
  <si>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</si>
  <si>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</si>
  <si>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</si>
  <si>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</si>
  <si>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</si>
  <si>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</si>
  <si>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</si>
  <si>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</si>
  <si>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</si>
  <si>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</si>
  <si>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</si>
  <si>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</si>
  <si>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</si>
  <si>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</si>
  <si>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</si>
  <si>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</si>
  <si>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</si>
  <si>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</si>
  <si>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</si>
  <si>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</si>
  <si>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</si>
  <si>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</si>
  <si>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</si>
  <si>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</si>
  <si>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</si>
  <si>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</si>
  <si>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</si>
  <si>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</si>
  <si>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</si>
  <si>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</si>
  <si>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</si>
  <si>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</si>
  <si>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</si>
  <si>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</si>
  <si>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</si>
  <si>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</si>
  <si>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</si>
  <si>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</si>
  <si>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</si>
  <si>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</si>
  <si>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</si>
  <si>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</si>
  <si>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</si>
  <si>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</si>
  <si>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</si>
  <si>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</si>
  <si>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</si>
  <si>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</si>
  <si>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</si>
  <si>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</si>
  <si>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</si>
  <si>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</si>
  <si>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</si>
  <si>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</si>
  <si>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</si>
  <si>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</si>
  <si>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</si>
  <si>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</si>
  <si>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</si>
  <si>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</si>
  <si>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</si>
  <si>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</si>
  <si>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</si>
  <si>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</si>
  <si>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</si>
  <si>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</si>
  <si>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</si>
  <si>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</si>
  <si>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</si>
  <si>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</si>
  <si>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</si>
  <si>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</si>
  <si>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</si>
  <si>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</si>
  <si>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</si>
  <si>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</si>
  <si>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</si>
  <si>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</si>
  <si>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</si>
  <si>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</si>
  <si>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</si>
  <si>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</si>
  <si>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</si>
  <si>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</si>
  <si>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</si>
  <si>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</si>
  <si>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</si>
  <si>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</si>
  <si>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</si>
  <si>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</si>
  <si>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</si>
  <si>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</si>
  <si>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</si>
  <si>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</si>
  <si>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</si>
  <si>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</si>
  <si>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</si>
  <si>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</si>
  <si>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</si>
  <si>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</si>
  <si>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</si>
  <si>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</si>
  <si>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</si>
  <si>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</si>
  <si>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</si>
  <si>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</si>
  <si>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</si>
  <si>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</si>
  <si>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</si>
  <si>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</si>
  <si>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</si>
  <si>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</si>
  <si>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</si>
  <si>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</si>
  <si>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</si>
  <si>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</si>
  <si>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</si>
  <si>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</si>
  <si>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</si>
  <si>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</si>
  <si>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</si>
  <si>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</si>
  <si>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</si>
  <si>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</si>
  <si>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</si>
  <si>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</si>
  <si>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</si>
  <si>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</si>
  <si>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</si>
  <si>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</si>
  <si>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</si>
  <si>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</si>
  <si>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</si>
  <si>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</si>
  <si>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</si>
  <si>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</si>
  <si>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</si>
  <si>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</si>
  <si>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</si>
  <si>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</si>
  <si>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</si>
  <si>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</si>
  <si>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</si>
  <si>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</si>
  <si>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</si>
  <si>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</si>
  <si>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</si>
  <si>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</si>
  <si>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</si>
  <si>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</si>
  <si>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</si>
  <si>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</si>
  <si>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</si>
  <si>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</si>
  <si>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</si>
  <si>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</si>
  <si>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</si>
  <si>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</si>
  <si>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</si>
  <si>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</si>
  <si>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</si>
  <si>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</si>
  <si>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</si>
  <si>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</si>
  <si>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</si>
  <si>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</si>
  <si>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</si>
  <si>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</si>
  <si>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</si>
  <si>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</si>
  <si>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</si>
  <si>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</si>
  <si>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</si>
  <si>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</si>
  <si>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</si>
  <si>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</si>
  <si>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</si>
  <si>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</si>
  <si>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</si>
  <si>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</si>
  <si>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</si>
  <si>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</si>
  <si>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</si>
  <si>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</si>
  <si>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</si>
  <si>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</si>
  <si>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</si>
  <si>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</si>
  <si>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</si>
  <si>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</si>
  <si>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</si>
  <si>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</si>
  <si>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</si>
  <si>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</si>
  <si>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</si>
  <si>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</si>
  <si>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</si>
  <si>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</si>
  <si>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</si>
  <si>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</si>
  <si>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</si>
  <si>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</si>
  <si>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</si>
  <si>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</si>
  <si>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</si>
  <si>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</si>
  <si>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</si>
  <si>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</si>
  <si>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</si>
  <si>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</si>
  <si>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</si>
  <si>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</si>
  <si>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</si>
  <si>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</si>
  <si>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</si>
  <si>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</si>
  <si>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</si>
  <si>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</si>
  <si>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</si>
  <si>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</si>
  <si>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</si>
  <si>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</si>
  <si>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</si>
  <si>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</si>
  <si>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</si>
  <si>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</si>
  <si>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</si>
  <si>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</si>
  <si>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</si>
  <si>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</si>
  <si>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</si>
  <si>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</si>
  <si>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</si>
  <si>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</si>
  <si>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</si>
  <si>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</si>
  <si>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</si>
  <si>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</si>
  <si>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</si>
  <si>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</si>
  <si>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</si>
  <si>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</si>
  <si>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</si>
  <si>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</si>
  <si>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</si>
  <si>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</si>
  <si>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</si>
  <si>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</si>
  <si>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</si>
  <si>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</si>
  <si>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</si>
  <si>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</si>
  <si>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</si>
  <si>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</si>
  <si>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</si>
  <si>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</si>
  <si>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</si>
  <si>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</si>
  <si>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</si>
  <si>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</si>
  <si>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</si>
  <si>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</si>
  <si>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</si>
  <si>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</si>
  <si>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</si>
  <si>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</si>
  <si>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</si>
  <si>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</si>
  <si>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</si>
  <si>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</si>
  <si>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</si>
  <si>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</si>
  <si>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</si>
  <si>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</si>
  <si>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</si>
  <si>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</si>
  <si>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</si>
  <si>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</si>
  <si>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</si>
  <si>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</si>
  <si>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</si>
  <si>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</si>
  <si>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</si>
  <si>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</si>
  <si>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</si>
  <si>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</si>
  <si>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</si>
  <si>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</si>
  <si>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</si>
  <si>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</si>
  <si>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</si>
  <si>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</si>
  <si>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</si>
  <si>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</si>
  <si>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</si>
  <si>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</si>
  <si>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</si>
  <si>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</si>
  <si>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</si>
  <si>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</si>
  <si>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</si>
  <si>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</si>
  <si>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</si>
  <si>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</si>
  <si>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</si>
  <si>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</si>
  <si>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</si>
  <si>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</si>
  <si>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</si>
  <si>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</si>
  <si>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</si>
  <si>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</si>
  <si>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</si>
  <si>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</si>
  <si>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</si>
  <si>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</si>
  <si>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</si>
  <si>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</si>
  <si>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</si>
  <si>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</si>
  <si>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</si>
  <si>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</si>
  <si>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</si>
  <si>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</si>
  <si>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</si>
  <si>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</si>
  <si>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</si>
  <si>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</si>
  <si>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</si>
  <si>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</si>
  <si>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</si>
  <si>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</si>
  <si>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</si>
  <si>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</si>
  <si>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</si>
  <si>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</si>
  <si>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</si>
  <si>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</si>
  <si>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</si>
  <si>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</si>
  <si>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</si>
  <si>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</si>
  <si>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</si>
  <si>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</si>
  <si>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</si>
  <si>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</si>
  <si>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</si>
  <si>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</si>
  <si>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</si>
  <si>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</si>
  <si>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</si>
  <si>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</si>
  <si>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</si>
  <si>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</si>
  <si>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</si>
  <si>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</si>
  <si>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</si>
  <si>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</si>
  <si>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</si>
  <si>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</si>
  <si>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</si>
  <si>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</si>
  <si>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</si>
  <si>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</si>
  <si>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</si>
  <si>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</si>
  <si>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</si>
  <si>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</si>
  <si>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</si>
  <si>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</si>
  <si>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</si>
  <si>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</si>
  <si>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</si>
  <si>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</si>
  <si>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</si>
  <si>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</si>
  <si>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</si>
  <si>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</si>
  <si>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</si>
  <si>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</si>
  <si>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</si>
  <si>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</si>
  <si>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</si>
  <si>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</si>
  <si>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</si>
  <si>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</si>
  <si>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</si>
  <si>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</si>
  <si>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</si>
  <si>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</si>
  <si>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</si>
  <si>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</si>
  <si>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</si>
  <si>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</si>
  <si>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</si>
  <si>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</si>
  <si>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</si>
  <si>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</si>
  <si>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</si>
  <si>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</si>
  <si>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</si>
  <si>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</si>
  <si>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</si>
  <si>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</si>
  <si>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</si>
  <si>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</si>
  <si>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</si>
  <si>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</si>
  <si>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</si>
  <si>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</si>
  <si>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</si>
  <si>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</si>
  <si>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</si>
  <si>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</si>
  <si>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</si>
  <si>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</si>
  <si>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</si>
  <si>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</si>
  <si>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</si>
  <si>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</si>
  <si>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</si>
  <si>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</si>
  <si>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</si>
  <si>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</si>
  <si>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</si>
  <si>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</si>
  <si>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</si>
  <si>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</si>
  <si>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</si>
  <si>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</si>
  <si>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</si>
  <si>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</si>
  <si>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</si>
  <si>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</si>
  <si>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</si>
  <si>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</si>
  <si>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</si>
  <si>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</si>
  <si>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</si>
  <si>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</si>
  <si>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</si>
  <si>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</si>
  <si>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</si>
  <si>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</si>
  <si>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</si>
  <si>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</si>
  <si>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</si>
  <si>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</si>
  <si>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</si>
  <si>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</si>
  <si>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</si>
  <si>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</si>
  <si>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</si>
  <si>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</si>
  <si>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</si>
  <si>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</si>
  <si>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</si>
  <si>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</si>
  <si>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</si>
  <si>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</si>
  <si>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</si>
  <si>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</si>
  <si>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</si>
  <si>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TRACE PENDIING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</si>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</sst>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72" totalsRowShown="0" headerRowDxfId="87" dataDxfId="86">
  <autoFilter ref="A1:R672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2" totalsRowShown="0" headerRowDxfId="42" dataDxfId="41">
  <autoFilter ref="A2:H4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40"/>
  <sheetViews>
    <sheetView tabSelected="1" topLeftCell="A663" zoomScaleNormal="100" workbookViewId="0">
      <selection activeCell="B596" sqref="B59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9211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9888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9557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/>
      <c r="P137" s="29"/>
      <c r="Q137" s="26"/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9242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9903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9242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9657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9242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9903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9822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9903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9195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9887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9887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9887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9903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9608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9549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9242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9887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9887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9550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9241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9550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9200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9887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9241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9903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9241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9242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9217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9342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9199</v>
      </c>
      <c r="C524" s="26" t="s">
        <v>9201</v>
      </c>
      <c r="D524" s="26" t="s">
        <v>9202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9203</v>
      </c>
      <c r="J524" s="27">
        <v>46090</v>
      </c>
      <c r="K524" s="26">
        <v>7006258174</v>
      </c>
      <c r="L524" s="26" t="s">
        <v>9904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9206</v>
      </c>
      <c r="C525" s="26" t="s">
        <v>9207</v>
      </c>
      <c r="D525" s="26" t="s">
        <v>9208</v>
      </c>
      <c r="E525" s="26" t="s">
        <v>9209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9210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9346</v>
      </c>
    </row>
    <row r="526" spans="1:18" x14ac:dyDescent="0.25">
      <c r="A526" s="26">
        <f t="shared" si="16"/>
        <v>525</v>
      </c>
      <c r="B526" s="26" t="s">
        <v>9212</v>
      </c>
      <c r="C526" s="26" t="s">
        <v>9213</v>
      </c>
      <c r="D526" s="26" t="s">
        <v>9214</v>
      </c>
      <c r="E526" s="26" t="s">
        <v>9215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9218</v>
      </c>
      <c r="J526" s="27">
        <v>46092</v>
      </c>
      <c r="K526" s="26">
        <v>9796966559</v>
      </c>
      <c r="L526" s="26" t="s">
        <v>9216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9222</v>
      </c>
      <c r="C527" s="26" t="s">
        <v>9221</v>
      </c>
      <c r="D527" s="26" t="s">
        <v>9220</v>
      </c>
      <c r="E527" s="26" t="s">
        <v>9219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9223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9226</v>
      </c>
      <c r="C528" s="26" t="s">
        <v>9224</v>
      </c>
      <c r="D528" s="26" t="s">
        <v>9225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9231</v>
      </c>
      <c r="J528" s="27">
        <v>46092</v>
      </c>
      <c r="K528" s="26">
        <v>9596405859</v>
      </c>
      <c r="L528" s="26" t="s">
        <v>480</v>
      </c>
      <c r="M528" s="28" t="s">
        <v>9329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9227</v>
      </c>
      <c r="C529" s="26" t="s">
        <v>9228</v>
      </c>
      <c r="D529" s="26" t="s">
        <v>9229</v>
      </c>
      <c r="E529" s="26" t="s">
        <v>9230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9232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9233</v>
      </c>
      <c r="C530" s="26" t="s">
        <v>9234</v>
      </c>
      <c r="D530" s="26" t="s">
        <v>9235</v>
      </c>
      <c r="E530" s="26" t="s">
        <v>9236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9243</v>
      </c>
      <c r="J530" s="27">
        <v>46092</v>
      </c>
      <c r="K530" s="26">
        <v>9596060009</v>
      </c>
      <c r="L530" s="26" t="s">
        <v>8949</v>
      </c>
      <c r="M530" s="28" t="s">
        <v>9286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9237</v>
      </c>
      <c r="C531" s="26" t="s">
        <v>9238</v>
      </c>
      <c r="D531" s="26" t="s">
        <v>9239</v>
      </c>
      <c r="E531" s="26" t="s">
        <v>9240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9244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9246</v>
      </c>
      <c r="C532" s="26" t="s">
        <v>9247</v>
      </c>
      <c r="D532" s="26" t="s">
        <v>9248</v>
      </c>
      <c r="E532" s="26" t="s">
        <v>9249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9254</v>
      </c>
      <c r="J532" s="27">
        <v>46093</v>
      </c>
      <c r="K532" s="26">
        <v>7780951154</v>
      </c>
      <c r="L532" s="26" t="s">
        <v>8949</v>
      </c>
      <c r="M532" s="28" t="s">
        <v>9286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9250</v>
      </c>
      <c r="C533" s="26" t="s">
        <v>9251</v>
      </c>
      <c r="D533" s="26" t="s">
        <v>9252</v>
      </c>
      <c r="E533" s="26" t="s">
        <v>9253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9255</v>
      </c>
      <c r="J533" s="27">
        <v>46093</v>
      </c>
      <c r="K533" s="26">
        <v>9419028585</v>
      </c>
      <c r="L533" s="26" t="s">
        <v>9318</v>
      </c>
      <c r="M533" s="28" t="s">
        <v>9417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9256</v>
      </c>
      <c r="C534" s="26" t="s">
        <v>9257</v>
      </c>
      <c r="D534" s="26" t="s">
        <v>9258</v>
      </c>
      <c r="E534" s="26" t="s">
        <v>9259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9264</v>
      </c>
      <c r="J534" s="27">
        <v>46094</v>
      </c>
      <c r="K534" s="26">
        <v>9622761029</v>
      </c>
      <c r="L534" s="26" t="s">
        <v>6564</v>
      </c>
      <c r="M534" s="28" t="s">
        <v>9746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9263</v>
      </c>
      <c r="C535" s="26" t="s">
        <v>9260</v>
      </c>
      <c r="D535" s="26" t="s">
        <v>9261</v>
      </c>
      <c r="E535" s="26" t="s">
        <v>9262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9265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9266</v>
      </c>
      <c r="C536" s="26" t="s">
        <v>9267</v>
      </c>
      <c r="D536" s="26" t="s">
        <v>9268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9269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9270</v>
      </c>
      <c r="C537" s="26" t="s">
        <v>9271</v>
      </c>
      <c r="D537" s="26" t="s">
        <v>9272</v>
      </c>
      <c r="E537" s="26" t="s">
        <v>9273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9281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9280</v>
      </c>
      <c r="C538" s="26" t="s">
        <v>9278</v>
      </c>
      <c r="D538" s="26" t="s">
        <v>9279</v>
      </c>
      <c r="E538" s="26" t="s">
        <v>9277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9282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9289</v>
      </c>
      <c r="C539" s="26" t="s">
        <v>9290</v>
      </c>
      <c r="D539" s="26" t="s">
        <v>9291</v>
      </c>
      <c r="E539" s="26" t="s">
        <v>9292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9295</v>
      </c>
      <c r="J539" s="27">
        <v>46095</v>
      </c>
      <c r="K539" s="26">
        <v>9541885239</v>
      </c>
      <c r="L539" s="26" t="s">
        <v>9293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9283</v>
      </c>
      <c r="C540" s="26" t="s">
        <v>9284</v>
      </c>
      <c r="D540" s="26" t="s">
        <v>9285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9294</v>
      </c>
      <c r="J540" s="27">
        <v>46095</v>
      </c>
      <c r="K540" s="26">
        <v>7006544713</v>
      </c>
      <c r="L540" s="26" t="s">
        <v>9242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9296</v>
      </c>
      <c r="C541" s="26" t="s">
        <v>9297</v>
      </c>
      <c r="D541" s="26" t="s">
        <v>9298</v>
      </c>
      <c r="E541" s="26" t="s">
        <v>9299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9307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9300</v>
      </c>
      <c r="C542" s="26" t="s">
        <v>9301</v>
      </c>
      <c r="D542" s="26" t="s">
        <v>9302</v>
      </c>
      <c r="E542" s="26" t="s">
        <v>9303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9306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9317</v>
      </c>
      <c r="C543" s="26" t="s">
        <v>9315</v>
      </c>
      <c r="D543" s="26" t="s">
        <v>9316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9319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9320</v>
      </c>
    </row>
    <row r="544" spans="1:18" x14ac:dyDescent="0.25">
      <c r="A544" s="26">
        <f t="shared" si="16"/>
        <v>543</v>
      </c>
      <c r="B544" s="26" t="s">
        <v>9324</v>
      </c>
      <c r="C544" s="26" t="s">
        <v>9321</v>
      </c>
      <c r="D544" s="26" t="s">
        <v>9322</v>
      </c>
      <c r="E544" s="26" t="s">
        <v>9323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9331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9325</v>
      </c>
      <c r="C545" s="26" t="s">
        <v>9326</v>
      </c>
      <c r="D545" s="26" t="s">
        <v>9327</v>
      </c>
      <c r="E545" s="26" t="s">
        <v>9328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9330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9332</v>
      </c>
      <c r="C546" s="26" t="s">
        <v>9337</v>
      </c>
      <c r="D546" s="26" t="s">
        <v>9338</v>
      </c>
      <c r="E546" s="26" t="s">
        <v>9339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9341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9349</v>
      </c>
    </row>
    <row r="547" spans="1:18" x14ac:dyDescent="0.25">
      <c r="A547" s="26">
        <f t="shared" si="16"/>
        <v>546</v>
      </c>
      <c r="B547" s="26" t="s">
        <v>9333</v>
      </c>
      <c r="C547" s="26" t="s">
        <v>9334</v>
      </c>
      <c r="D547" s="26" t="s">
        <v>9335</v>
      </c>
      <c r="E547" s="26" t="s">
        <v>9336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9340</v>
      </c>
      <c r="J547" s="27">
        <v>46097</v>
      </c>
      <c r="K547" s="26">
        <v>6005959815</v>
      </c>
      <c r="L547" s="26" t="s">
        <v>7240</v>
      </c>
      <c r="M547" s="28" t="s">
        <v>9656</v>
      </c>
      <c r="N547" s="27">
        <v>46104</v>
      </c>
      <c r="O547" s="26" t="s">
        <v>9670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9375</v>
      </c>
      <c r="C548" s="26" t="s">
        <v>9376</v>
      </c>
      <c r="D548" s="26" t="s">
        <v>9377</v>
      </c>
      <c r="E548" s="26" t="s">
        <v>9378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9382</v>
      </c>
      <c r="J548" s="27">
        <v>46099</v>
      </c>
      <c r="K548" s="26">
        <v>7889429043</v>
      </c>
      <c r="L548" s="26" t="s">
        <v>6515</v>
      </c>
      <c r="M548" s="28" t="s">
        <v>9654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9347</v>
      </c>
      <c r="C549" s="26" t="s">
        <v>9350</v>
      </c>
      <c r="D549" s="26" t="s">
        <v>9351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9369</v>
      </c>
      <c r="J549" s="27">
        <v>46099</v>
      </c>
      <c r="K549" s="26">
        <v>7780878588</v>
      </c>
      <c r="L549" s="26" t="s">
        <v>26</v>
      </c>
      <c r="M549" s="28" t="s">
        <v>9438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9348</v>
      </c>
      <c r="C550" s="26" t="s">
        <v>9352</v>
      </c>
      <c r="D550" s="26" t="s">
        <v>9353</v>
      </c>
      <c r="E550" s="26" t="s">
        <v>9354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9368</v>
      </c>
      <c r="J550" s="27">
        <v>46099</v>
      </c>
      <c r="K550" s="26">
        <v>7780915118</v>
      </c>
      <c r="L550" s="26" t="s">
        <v>26</v>
      </c>
      <c r="M550" s="28" t="s">
        <v>10091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9356</v>
      </c>
      <c r="C551" s="26" t="s">
        <v>9357</v>
      </c>
      <c r="D551" s="26" t="s">
        <v>9358</v>
      </c>
      <c r="E551" s="26" t="s">
        <v>9359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9370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9364</v>
      </c>
      <c r="C552" s="26" t="s">
        <v>9360</v>
      </c>
      <c r="D552" s="26" t="s">
        <v>9361</v>
      </c>
      <c r="E552" s="26" t="s">
        <v>9362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9379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9363</v>
      </c>
      <c r="C553" s="26" t="s">
        <v>9365</v>
      </c>
      <c r="D553" s="26" t="s">
        <v>9366</v>
      </c>
      <c r="E553" s="26" t="s">
        <v>9367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9380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9371</v>
      </c>
      <c r="C554" s="26" t="s">
        <v>9372</v>
      </c>
      <c r="D554" s="26" t="s">
        <v>9373</v>
      </c>
      <c r="E554" s="26" t="s">
        <v>9374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9381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9383</v>
      </c>
      <c r="C555" s="26" t="s">
        <v>9384</v>
      </c>
      <c r="D555" s="26" t="s">
        <v>9385</v>
      </c>
      <c r="E555" s="26" t="s">
        <v>9386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9387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9396</v>
      </c>
      <c r="C556" s="26" t="s">
        <v>9397</v>
      </c>
      <c r="D556" s="26" t="s">
        <v>9398</v>
      </c>
      <c r="E556" s="26" t="s">
        <v>9399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9409</v>
      </c>
      <c r="J556" s="27">
        <v>46100</v>
      </c>
      <c r="K556" s="26">
        <v>9149694089</v>
      </c>
      <c r="L556" s="26" t="s">
        <v>6515</v>
      </c>
      <c r="M556" s="28" t="s">
        <v>9902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9400</v>
      </c>
      <c r="C557" s="26" t="s">
        <v>9401</v>
      </c>
      <c r="D557" s="26" t="s">
        <v>9402</v>
      </c>
      <c r="E557" s="26" t="s">
        <v>9403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9408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9407</v>
      </c>
      <c r="C558" s="26" t="s">
        <v>9405</v>
      </c>
      <c r="D558" s="26" t="s">
        <v>9406</v>
      </c>
      <c r="E558" s="26" t="s">
        <v>9404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9430</v>
      </c>
      <c r="J558" s="27">
        <v>46100</v>
      </c>
      <c r="K558" s="26">
        <v>9596324743</v>
      </c>
      <c r="L558" s="26" t="s">
        <v>7240</v>
      </c>
      <c r="M558" s="28" t="s">
        <v>9656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9413</v>
      </c>
      <c r="C559" s="26" t="s">
        <v>9414</v>
      </c>
      <c r="D559" s="26" t="s">
        <v>9415</v>
      </c>
      <c r="E559" s="26" t="s">
        <v>9416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9426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9421</v>
      </c>
      <c r="C560" s="26" t="s">
        <v>9418</v>
      </c>
      <c r="D560" s="26" t="s">
        <v>9419</v>
      </c>
      <c r="E560" s="26" t="s">
        <v>9420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9427</v>
      </c>
      <c r="J560" s="27">
        <v>46100</v>
      </c>
      <c r="K560" s="26">
        <v>9419077006</v>
      </c>
      <c r="L560" s="26" t="s">
        <v>42</v>
      </c>
      <c r="M560" s="28" t="s">
        <v>9451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9437</v>
      </c>
      <c r="C561" s="26" t="s">
        <v>9433</v>
      </c>
      <c r="D561" s="26" t="s">
        <v>9434</v>
      </c>
      <c r="E561" s="26" t="s">
        <v>9435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9436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9439</v>
      </c>
      <c r="C562" s="26" t="s">
        <v>9440</v>
      </c>
      <c r="D562" s="26" t="s">
        <v>9441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9442</v>
      </c>
      <c r="J562" s="27">
        <v>46100</v>
      </c>
      <c r="K562" s="26">
        <v>9596034776</v>
      </c>
      <c r="L562" s="26" t="s">
        <v>7240</v>
      </c>
      <c r="M562" s="28" t="s">
        <v>9656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9410</v>
      </c>
      <c r="C563" s="26" t="s">
        <v>9411</v>
      </c>
      <c r="D563" s="26" t="s">
        <v>9412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9429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9422</v>
      </c>
      <c r="C564" s="26" t="s">
        <v>9423</v>
      </c>
      <c r="D564" s="26" t="s">
        <v>9424</v>
      </c>
      <c r="E564" s="26" t="s">
        <v>9425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9428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9447</v>
      </c>
      <c r="C565" s="26" t="s">
        <v>9448</v>
      </c>
      <c r="D565" s="26" t="s">
        <v>9449</v>
      </c>
      <c r="E565" s="26" t="s">
        <v>9450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9452</v>
      </c>
      <c r="J565" s="27">
        <v>46104</v>
      </c>
      <c r="K565" s="26">
        <v>9541664021</v>
      </c>
      <c r="L565" s="26" t="s">
        <v>6515</v>
      </c>
      <c r="M565" s="28" t="s">
        <v>9654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9453</v>
      </c>
      <c r="C566" s="26" t="s">
        <v>9454</v>
      </c>
      <c r="D566" s="26" t="s">
        <v>9455</v>
      </c>
      <c r="E566" s="26" t="s">
        <v>9456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9462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9457</v>
      </c>
      <c r="C567" s="26" t="s">
        <v>9458</v>
      </c>
      <c r="D567" s="26" t="s">
        <v>9459</v>
      </c>
      <c r="E567" s="26" t="s">
        <v>9460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9461</v>
      </c>
      <c r="J567" s="27">
        <v>46104</v>
      </c>
      <c r="K567" s="26">
        <v>9596989605</v>
      </c>
      <c r="L567" s="26" t="s">
        <v>26</v>
      </c>
      <c r="M567" s="28" t="s">
        <v>9787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9478</v>
      </c>
      <c r="C568" s="26" t="s">
        <v>9475</v>
      </c>
      <c r="D568" s="26" t="s">
        <v>9476</v>
      </c>
      <c r="E568" s="26" t="s">
        <v>9477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9479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9470</v>
      </c>
      <c r="C569" s="26" t="s">
        <v>9471</v>
      </c>
      <c r="D569" s="26" t="s">
        <v>9472</v>
      </c>
      <c r="E569" s="26" t="s">
        <v>9473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9474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9491</v>
      </c>
      <c r="C570" s="26" t="s">
        <v>9483</v>
      </c>
      <c r="D570" s="26" t="s">
        <v>9484</v>
      </c>
      <c r="E570" s="26" t="s">
        <v>9485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9486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9492</v>
      </c>
      <c r="C571" s="26" t="s">
        <v>9487</v>
      </c>
      <c r="D571" s="26" t="s">
        <v>9489</v>
      </c>
      <c r="E571" s="26" t="s">
        <v>9488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9490</v>
      </c>
      <c r="J571" s="27">
        <v>46105</v>
      </c>
      <c r="K571" s="26">
        <v>7780922014</v>
      </c>
      <c r="L571" s="26" t="s">
        <v>7240</v>
      </c>
      <c r="M571" s="28" t="s">
        <v>9656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9504</v>
      </c>
      <c r="C572" s="26" t="s">
        <v>9499</v>
      </c>
      <c r="D572" s="26" t="s">
        <v>9500</v>
      </c>
      <c r="E572" s="26" t="s">
        <v>9501</v>
      </c>
      <c r="F572" s="26" t="s">
        <v>9502</v>
      </c>
      <c r="G572" s="26" t="s">
        <v>9503</v>
      </c>
      <c r="H572" s="26" t="str">
        <f t="shared" si="17"/>
        <v>SRINAGAR</v>
      </c>
      <c r="I572" s="26" t="s">
        <v>9505</v>
      </c>
      <c r="J572" s="27">
        <v>46106</v>
      </c>
      <c r="K572" s="26">
        <v>8899807800</v>
      </c>
      <c r="L572" s="26" t="s">
        <v>6446</v>
      </c>
      <c r="M572" s="28" t="s">
        <v>9635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9494</v>
      </c>
      <c r="C573" s="26" t="s">
        <v>9495</v>
      </c>
      <c r="D573" s="26" t="s">
        <v>9496</v>
      </c>
      <c r="E573" s="26" t="s">
        <v>9497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9498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9510</v>
      </c>
      <c r="C574" s="26" t="s">
        <v>9506</v>
      </c>
      <c r="D574" s="26" t="s">
        <v>9507</v>
      </c>
      <c r="E574" s="26" t="s">
        <v>9508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9509</v>
      </c>
      <c r="J574" s="27">
        <v>46106</v>
      </c>
      <c r="K574" s="26">
        <v>6005105292</v>
      </c>
      <c r="L574" s="26" t="s">
        <v>68</v>
      </c>
      <c r="M574" s="28" t="s">
        <v>9750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9514</v>
      </c>
      <c r="C575" s="26" t="s">
        <v>9511</v>
      </c>
      <c r="D575" s="26" t="s">
        <v>9512</v>
      </c>
      <c r="E575" s="26" t="s">
        <v>9513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9515</v>
      </c>
      <c r="J575" s="27">
        <v>46106</v>
      </c>
      <c r="K575" s="26">
        <v>8899062478</v>
      </c>
      <c r="L575" s="26" t="s">
        <v>26</v>
      </c>
      <c r="M575" s="28" t="s">
        <v>9653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9516</v>
      </c>
      <c r="C576" s="26" t="s">
        <v>9517</v>
      </c>
      <c r="D576" s="26" t="s">
        <v>9518</v>
      </c>
      <c r="E576" s="26" t="s">
        <v>9519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9520</v>
      </c>
      <c r="J576" s="27">
        <v>46106</v>
      </c>
      <c r="K576" s="26">
        <v>9797038059</v>
      </c>
      <c r="L576" s="26" t="s">
        <v>2168</v>
      </c>
      <c r="M576" s="28" t="s">
        <v>9749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9525</v>
      </c>
      <c r="C577" s="26" t="s">
        <v>9521</v>
      </c>
      <c r="D577" s="26" t="s">
        <v>9522</v>
      </c>
      <c r="E577" s="26" t="s">
        <v>9523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9524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41" si="18">ROW()-1</f>
        <v>577</v>
      </c>
      <c r="B578" s="26" t="s">
        <v>9562</v>
      </c>
      <c r="C578" s="26" t="s">
        <v>9563</v>
      </c>
      <c r="D578" s="26" t="s">
        <v>9564</v>
      </c>
      <c r="E578" s="26" t="s">
        <v>9565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9571</v>
      </c>
      <c r="J578" s="27">
        <v>46107</v>
      </c>
      <c r="K578" s="26">
        <v>8899904221</v>
      </c>
      <c r="L578" s="26" t="s">
        <v>9903</v>
      </c>
      <c r="M578" s="28" t="s">
        <v>9194</v>
      </c>
      <c r="N578" s="27"/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9527</v>
      </c>
      <c r="C579" s="26" t="s">
        <v>9529</v>
      </c>
      <c r="D579" s="26" t="s">
        <v>9528</v>
      </c>
      <c r="E579" s="26" t="s">
        <v>9530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9544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9541</v>
      </c>
      <c r="C580" s="26" t="s">
        <v>9531</v>
      </c>
      <c r="D580" s="26" t="s">
        <v>9540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9543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9532</v>
      </c>
      <c r="C581" s="26" t="s">
        <v>9533</v>
      </c>
      <c r="D581" s="26" t="s">
        <v>9534</v>
      </c>
      <c r="E581" s="26" t="s">
        <v>9535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9545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9539</v>
      </c>
      <c r="C582" s="26" t="s">
        <v>9536</v>
      </c>
      <c r="D582" s="26" t="s">
        <v>9537</v>
      </c>
      <c r="E582" s="26" t="s">
        <v>9538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9542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9551</v>
      </c>
      <c r="C583" s="26" t="s">
        <v>9552</v>
      </c>
      <c r="D583" s="26" t="s">
        <v>9553</v>
      </c>
      <c r="E583" s="26" t="s">
        <v>9554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9555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9566</v>
      </c>
      <c r="C584" s="26" t="s">
        <v>9567</v>
      </c>
      <c r="D584" s="26" t="s">
        <v>9568</v>
      </c>
      <c r="E584" s="26" t="s">
        <v>9569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9570</v>
      </c>
      <c r="J584" s="27">
        <v>46107</v>
      </c>
      <c r="K584" s="26">
        <v>9419433461</v>
      </c>
      <c r="L584" s="26" t="s">
        <v>9613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9602</v>
      </c>
      <c r="C585" s="26" t="s">
        <v>9603</v>
      </c>
      <c r="D585" s="26" t="s">
        <v>9604</v>
      </c>
      <c r="E585" s="26" t="s">
        <v>9605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9606</v>
      </c>
      <c r="J585" s="27">
        <v>46108</v>
      </c>
      <c r="K585" s="26">
        <v>7006689016</v>
      </c>
      <c r="L585" s="26" t="s">
        <v>9903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9575</v>
      </c>
      <c r="C586" s="26" t="s">
        <v>9572</v>
      </c>
      <c r="D586" s="26" t="s">
        <v>9573</v>
      </c>
      <c r="E586" s="26" t="s">
        <v>9574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9652</v>
      </c>
      <c r="J586" s="27">
        <v>46108</v>
      </c>
      <c r="K586" s="26">
        <v>9596025507</v>
      </c>
      <c r="L586" s="26" t="s">
        <v>104</v>
      </c>
      <c r="M586" s="28" t="s">
        <v>9823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9583</v>
      </c>
      <c r="C587" s="26" t="s">
        <v>9584</v>
      </c>
      <c r="D587" s="26" t="s">
        <v>9585</v>
      </c>
      <c r="E587" s="26" t="s">
        <v>9586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9590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9587</v>
      </c>
      <c r="C588" s="26" t="s">
        <v>9588</v>
      </c>
      <c r="D588" s="26" t="s">
        <v>9589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9591</v>
      </c>
      <c r="J588" s="27">
        <v>46108</v>
      </c>
      <c r="K588" s="26">
        <v>9797714389</v>
      </c>
      <c r="L588" s="26" t="s">
        <v>26</v>
      </c>
      <c r="M588" s="28"/>
      <c r="N588" s="27"/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9592</v>
      </c>
      <c r="C589" s="26" t="s">
        <v>9593</v>
      </c>
      <c r="D589" s="26" t="s">
        <v>9594</v>
      </c>
      <c r="E589" s="26" t="s">
        <v>9595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9601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9596</v>
      </c>
      <c r="C590" s="26" t="s">
        <v>9597</v>
      </c>
      <c r="D590" s="26" t="s">
        <v>9598</v>
      </c>
      <c r="E590" s="26" t="s">
        <v>9599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9600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9617</v>
      </c>
      <c r="C591" s="26" t="s">
        <v>9616</v>
      </c>
      <c r="D591" s="26" t="s">
        <v>9618</v>
      </c>
      <c r="E591" s="26" t="s">
        <v>9619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9625</v>
      </c>
      <c r="J591" s="27">
        <v>46109</v>
      </c>
      <c r="K591" s="26">
        <v>9103000945</v>
      </c>
      <c r="L591" s="26" t="s">
        <v>6515</v>
      </c>
      <c r="M591" s="26" t="s">
        <v>10074</v>
      </c>
      <c r="N591" s="27"/>
      <c r="O591" s="26"/>
      <c r="P591" s="29"/>
      <c r="Q591" s="26"/>
      <c r="R591" s="26" t="s">
        <v>9655</v>
      </c>
    </row>
    <row r="592" spans="1:18" x14ac:dyDescent="0.25">
      <c r="A592" s="26">
        <f t="shared" si="18"/>
        <v>591</v>
      </c>
      <c r="B592" s="26" t="s">
        <v>9620</v>
      </c>
      <c r="C592" s="26" t="s">
        <v>9621</v>
      </c>
      <c r="D592" s="26" t="s">
        <v>9622</v>
      </c>
      <c r="E592" s="26" t="s">
        <v>9623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9624</v>
      </c>
      <c r="J592" s="27">
        <v>46109</v>
      </c>
      <c r="K592" s="26">
        <v>9149790539</v>
      </c>
      <c r="L592" s="26" t="s">
        <v>7240</v>
      </c>
      <c r="M592" s="28" t="s">
        <v>9918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9628</v>
      </c>
      <c r="C593" s="26" t="s">
        <v>9626</v>
      </c>
      <c r="D593" s="26" t="s">
        <v>9627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9633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9629</v>
      </c>
      <c r="C594" s="26" t="s">
        <v>9630</v>
      </c>
      <c r="D594" s="26" t="s">
        <v>9631</v>
      </c>
      <c r="E594" s="26" t="s">
        <v>9632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9634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9637</v>
      </c>
      <c r="C595" s="26" t="s">
        <v>9638</v>
      </c>
      <c r="D595" s="26" t="s">
        <v>9639</v>
      </c>
      <c r="E595" s="26" t="s">
        <v>9640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9641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9671</v>
      </c>
      <c r="C596" s="26" t="s">
        <v>9676</v>
      </c>
      <c r="D596" s="26" t="s">
        <v>9677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9678</v>
      </c>
      <c r="J596" s="27">
        <v>46111</v>
      </c>
      <c r="K596" s="26">
        <v>9697473191</v>
      </c>
      <c r="L596" s="26" t="s">
        <v>7059</v>
      </c>
      <c r="M596" s="26" t="s">
        <v>10074</v>
      </c>
      <c r="N596" s="27"/>
      <c r="O596" s="26"/>
      <c r="P596" s="29"/>
      <c r="Q596" s="26"/>
      <c r="R596" s="26" t="s">
        <v>9697</v>
      </c>
    </row>
    <row r="597" spans="1:18" x14ac:dyDescent="0.25">
      <c r="A597" s="26">
        <f t="shared" si="18"/>
        <v>596</v>
      </c>
      <c r="B597" s="26" t="s">
        <v>9642</v>
      </c>
      <c r="C597" s="26" t="s">
        <v>9643</v>
      </c>
      <c r="D597" s="26" t="s">
        <v>9644</v>
      </c>
      <c r="E597" s="26" t="s">
        <v>9645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9650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9646</v>
      </c>
      <c r="C598" s="26" t="s">
        <v>9647</v>
      </c>
      <c r="D598" s="26" t="s">
        <v>9648</v>
      </c>
      <c r="E598" s="26" t="s">
        <v>9649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9651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9658</v>
      </c>
      <c r="C599" s="26" t="s">
        <v>9660</v>
      </c>
      <c r="D599" s="26" t="s">
        <v>9661</v>
      </c>
      <c r="E599" s="26" t="s">
        <v>9659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9662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9684</v>
      </c>
      <c r="C600" s="26" t="s">
        <v>9672</v>
      </c>
      <c r="D600" s="26" t="s">
        <v>9673</v>
      </c>
      <c r="E600" s="26" t="s">
        <v>9674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9679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9675</v>
      </c>
    </row>
    <row r="601" spans="1:18" x14ac:dyDescent="0.25">
      <c r="A601" s="26">
        <f t="shared" si="18"/>
        <v>600</v>
      </c>
      <c r="B601" s="26" t="s">
        <v>9689</v>
      </c>
      <c r="C601" s="26" t="s">
        <v>9690</v>
      </c>
      <c r="D601" s="26" t="s">
        <v>9691</v>
      </c>
      <c r="E601" s="26" t="s">
        <v>9692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9731</v>
      </c>
      <c r="J601" s="27">
        <v>46112</v>
      </c>
      <c r="K601" s="26">
        <v>7780858453</v>
      </c>
      <c r="L601" s="26" t="s">
        <v>9903</v>
      </c>
      <c r="M601" s="26" t="s">
        <v>9194</v>
      </c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9715</v>
      </c>
      <c r="C602" s="26" t="s">
        <v>9716</v>
      </c>
      <c r="D602" s="26" t="s">
        <v>9717</v>
      </c>
      <c r="E602" s="26" t="s">
        <v>9718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9732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9685</v>
      </c>
      <c r="C603" s="26" t="s">
        <v>9686</v>
      </c>
      <c r="D603" s="26" t="s">
        <v>9687</v>
      </c>
      <c r="E603" s="26" t="s">
        <v>9688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9730</v>
      </c>
      <c r="J603" s="27">
        <v>46112</v>
      </c>
      <c r="K603" s="26">
        <v>6006032793</v>
      </c>
      <c r="L603" s="26" t="s">
        <v>9903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9683</v>
      </c>
      <c r="C604" s="26" t="s">
        <v>9680</v>
      </c>
      <c r="D604" s="26" t="s">
        <v>9681</v>
      </c>
      <c r="E604" s="26" t="s">
        <v>9682</v>
      </c>
      <c r="F604" s="26" t="s">
        <v>116</v>
      </c>
      <c r="G604" s="26" t="s">
        <v>171</v>
      </c>
      <c r="H604" s="26" t="str">
        <f t="shared" si="19"/>
        <v>NEW</v>
      </c>
      <c r="I604" s="26"/>
      <c r="J604" s="27">
        <v>46112</v>
      </c>
      <c r="K604" s="26">
        <v>9871157589</v>
      </c>
      <c r="L604" s="26" t="s">
        <v>9703</v>
      </c>
      <c r="M604" s="28"/>
      <c r="N604" s="27"/>
      <c r="O604" s="26"/>
      <c r="P604" s="29"/>
      <c r="Q604" s="26"/>
      <c r="R604" s="26"/>
    </row>
    <row r="605" spans="1:18" x14ac:dyDescent="0.25">
      <c r="A605" s="26">
        <f t="shared" si="18"/>
        <v>604</v>
      </c>
      <c r="B605" s="26" t="s">
        <v>9693</v>
      </c>
      <c r="C605" s="26" t="s">
        <v>9694</v>
      </c>
      <c r="D605" s="26" t="s">
        <v>9695</v>
      </c>
      <c r="E605" s="26" t="s">
        <v>9696</v>
      </c>
      <c r="F605" s="26" t="s">
        <v>482</v>
      </c>
      <c r="G605" s="26" t="s">
        <v>197</v>
      </c>
      <c r="H605" s="26" t="str">
        <f t="shared" si="19"/>
        <v>SRINAGAR</v>
      </c>
      <c r="I605" s="26" t="s">
        <v>9726</v>
      </c>
      <c r="J605" s="27">
        <v>46112</v>
      </c>
      <c r="K605" s="26">
        <v>9419571210</v>
      </c>
      <c r="L605" s="26" t="s">
        <v>1122</v>
      </c>
      <c r="M605" s="28"/>
      <c r="N605" s="27"/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9702</v>
      </c>
      <c r="C606" s="26" t="s">
        <v>9698</v>
      </c>
      <c r="D606" s="26" t="s">
        <v>9699</v>
      </c>
      <c r="E606" s="26" t="s">
        <v>9701</v>
      </c>
      <c r="F606" s="26" t="s">
        <v>9700</v>
      </c>
      <c r="G606" s="26" t="s">
        <v>196</v>
      </c>
      <c r="H606" s="26" t="str">
        <f t="shared" si="19"/>
        <v>SRINAGAR</v>
      </c>
      <c r="I606" s="26" t="s">
        <v>9727</v>
      </c>
      <c r="J606" s="27">
        <v>46112</v>
      </c>
      <c r="K606" s="26">
        <v>7006317414</v>
      </c>
      <c r="L606" s="26" t="s">
        <v>163</v>
      </c>
      <c r="M606" s="28" t="s">
        <v>9852</v>
      </c>
      <c r="N606" s="27">
        <v>46120</v>
      </c>
      <c r="O606" s="26" t="s">
        <v>23</v>
      </c>
      <c r="P606" s="29">
        <v>46113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9704</v>
      </c>
      <c r="C607" s="26" t="s">
        <v>9705</v>
      </c>
      <c r="D607" s="26" t="s">
        <v>9706</v>
      </c>
      <c r="E607" s="26" t="s">
        <v>9707</v>
      </c>
      <c r="F607" s="26" t="s">
        <v>65</v>
      </c>
      <c r="G607" s="26" t="s">
        <v>196</v>
      </c>
      <c r="H607" s="26" t="str">
        <f t="shared" si="19"/>
        <v>SRINAGAR</v>
      </c>
      <c r="I607" s="26" t="s">
        <v>9725</v>
      </c>
      <c r="J607" s="27">
        <v>46112</v>
      </c>
      <c r="K607" s="26">
        <v>7006446177</v>
      </c>
      <c r="L607" s="26" t="s">
        <v>1513</v>
      </c>
      <c r="M607" s="28" t="s">
        <v>9032</v>
      </c>
      <c r="N607" s="27">
        <v>46114</v>
      </c>
      <c r="O607" s="26" t="s">
        <v>23</v>
      </c>
      <c r="P607" s="29">
        <v>46114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9710</v>
      </c>
      <c r="C608" s="26" t="s">
        <v>9712</v>
      </c>
      <c r="D608" s="26" t="s">
        <v>9713</v>
      </c>
      <c r="E608" s="26" t="s">
        <v>9711</v>
      </c>
      <c r="F608" s="26" t="s">
        <v>98</v>
      </c>
      <c r="G608" s="26" t="s">
        <v>197</v>
      </c>
      <c r="H608" s="26" t="str">
        <f t="shared" si="19"/>
        <v>BUDGAM</v>
      </c>
      <c r="I608" s="26" t="s">
        <v>9729</v>
      </c>
      <c r="J608" s="27">
        <v>46112</v>
      </c>
      <c r="K608" s="26">
        <v>9797429247</v>
      </c>
      <c r="L608" s="26" t="s">
        <v>9714</v>
      </c>
      <c r="M608" s="28"/>
      <c r="N608" s="27"/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9735</v>
      </c>
      <c r="C609" s="26" t="s">
        <v>9733</v>
      </c>
      <c r="D609" s="26" t="s">
        <v>9734</v>
      </c>
      <c r="E609" s="26" t="s">
        <v>9723</v>
      </c>
      <c r="F609" s="26" t="s">
        <v>31</v>
      </c>
      <c r="G609" s="26" t="s">
        <v>172</v>
      </c>
      <c r="H609" s="26" t="str">
        <f t="shared" si="19"/>
        <v>SRINAGAR</v>
      </c>
      <c r="I609" s="26" t="s">
        <v>9724</v>
      </c>
      <c r="J609" s="27">
        <v>46112</v>
      </c>
      <c r="K609" s="26">
        <v>7006759393</v>
      </c>
      <c r="L609" s="26" t="s">
        <v>191</v>
      </c>
      <c r="M609" s="28" t="s">
        <v>8215</v>
      </c>
      <c r="N609" s="27">
        <v>46114</v>
      </c>
      <c r="O609" s="26" t="s">
        <v>23</v>
      </c>
      <c r="P609" s="29">
        <v>46113</v>
      </c>
      <c r="Q609" s="26" t="s">
        <v>6454</v>
      </c>
      <c r="R609" s="26"/>
    </row>
    <row r="610" spans="1:18" x14ac:dyDescent="0.25">
      <c r="A610" s="26">
        <f t="shared" si="18"/>
        <v>609</v>
      </c>
      <c r="B610" s="26" t="s">
        <v>9719</v>
      </c>
      <c r="C610" s="26" t="s">
        <v>9720</v>
      </c>
      <c r="D610" s="26" t="s">
        <v>9721</v>
      </c>
      <c r="E610" s="26" t="s">
        <v>9722</v>
      </c>
      <c r="F610" s="26" t="s">
        <v>36</v>
      </c>
      <c r="G610" s="26" t="s">
        <v>197</v>
      </c>
      <c r="H610" s="26" t="str">
        <f t="shared" si="19"/>
        <v>SRINAGAR</v>
      </c>
      <c r="I610" s="26" t="s">
        <v>9728</v>
      </c>
      <c r="J610" s="27">
        <v>46112</v>
      </c>
      <c r="K610" s="26">
        <v>7006387624</v>
      </c>
      <c r="L610" s="26" t="s">
        <v>9903</v>
      </c>
      <c r="M610" s="28" t="s">
        <v>7705</v>
      </c>
      <c r="N610" s="27">
        <v>46128</v>
      </c>
      <c r="O610" s="26"/>
      <c r="P610" s="29"/>
      <c r="Q610" s="26"/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9736</v>
      </c>
      <c r="D611" s="26" t="s">
        <v>9737</v>
      </c>
      <c r="E611" s="26" t="s">
        <v>9738</v>
      </c>
      <c r="F611" s="26" t="s">
        <v>1682</v>
      </c>
      <c r="G611" s="26" t="s">
        <v>196</v>
      </c>
      <c r="H611" s="26" t="str">
        <f t="shared" si="19"/>
        <v>SRINAGAR</v>
      </c>
      <c r="I611" s="26" t="s">
        <v>9744</v>
      </c>
      <c r="J611" s="27">
        <v>46113</v>
      </c>
      <c r="K611" s="26">
        <v>7006675147</v>
      </c>
      <c r="L611" s="26" t="s">
        <v>104</v>
      </c>
      <c r="M611" s="28"/>
      <c r="N611" s="27"/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9740</v>
      </c>
      <c r="C612" s="26" t="s">
        <v>9741</v>
      </c>
      <c r="D612" s="26" t="s">
        <v>9742</v>
      </c>
      <c r="E612" s="26" t="s">
        <v>9743</v>
      </c>
      <c r="F612" s="26" t="s">
        <v>31</v>
      </c>
      <c r="G612" s="26" t="s">
        <v>218</v>
      </c>
      <c r="H612" s="26" t="str">
        <f t="shared" si="19"/>
        <v>BUDGAM</v>
      </c>
      <c r="I612" s="26" t="s">
        <v>9745</v>
      </c>
      <c r="J612" s="27">
        <v>46113</v>
      </c>
      <c r="K612" s="26">
        <v>7006313164</v>
      </c>
      <c r="L612" s="26" t="s">
        <v>26</v>
      </c>
      <c r="M612" s="28" t="s">
        <v>9907</v>
      </c>
      <c r="N612" s="27">
        <v>46122</v>
      </c>
      <c r="O612" s="26" t="s">
        <v>23</v>
      </c>
      <c r="P612" s="29">
        <v>46113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9751</v>
      </c>
      <c r="C613" s="26" t="s">
        <v>9752</v>
      </c>
      <c r="D613" s="26" t="s">
        <v>9754</v>
      </c>
      <c r="E613" s="26" t="s">
        <v>9753</v>
      </c>
      <c r="F613" s="26" t="s">
        <v>3126</v>
      </c>
      <c r="G613" s="26" t="s">
        <v>6469</v>
      </c>
      <c r="H613" s="26" t="str">
        <f t="shared" si="19"/>
        <v>BUDGAM</v>
      </c>
      <c r="I613" s="26" t="s">
        <v>9760</v>
      </c>
      <c r="J613" s="27">
        <v>46113</v>
      </c>
      <c r="K613" s="26">
        <v>7006248705</v>
      </c>
      <c r="L613" s="26" t="s">
        <v>68</v>
      </c>
      <c r="M613" s="28" t="s">
        <v>7943</v>
      </c>
      <c r="N613" s="27">
        <v>46116</v>
      </c>
      <c r="O613" s="26" t="s">
        <v>23</v>
      </c>
      <c r="P613" s="29">
        <v>46114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9766</v>
      </c>
      <c r="C614" s="26" t="s">
        <v>9763</v>
      </c>
      <c r="D614" s="26" t="s">
        <v>9764</v>
      </c>
      <c r="E614" s="26" t="s">
        <v>9765</v>
      </c>
      <c r="F614" s="26" t="s">
        <v>116</v>
      </c>
      <c r="G614" s="26" t="s">
        <v>172</v>
      </c>
      <c r="H614" s="26" t="str">
        <f t="shared" si="19"/>
        <v>SRINAGAR</v>
      </c>
      <c r="I614" s="26" t="s">
        <v>9780</v>
      </c>
      <c r="J614" s="27">
        <v>46115</v>
      </c>
      <c r="K614" s="26">
        <v>9596989763</v>
      </c>
      <c r="L614" s="26" t="s">
        <v>3509</v>
      </c>
      <c r="M614" s="28"/>
      <c r="N614" s="27"/>
      <c r="O614" s="26" t="s">
        <v>23</v>
      </c>
      <c r="P614" s="29">
        <v>46123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9771</v>
      </c>
      <c r="C615" s="26" t="s">
        <v>9772</v>
      </c>
      <c r="D615" s="26" t="s">
        <v>9773</v>
      </c>
      <c r="E615" s="26" t="s">
        <v>9774</v>
      </c>
      <c r="F615" s="26" t="s">
        <v>122</v>
      </c>
      <c r="G615" s="26" t="s">
        <v>197</v>
      </c>
      <c r="H615" s="26" t="str">
        <f t="shared" si="19"/>
        <v>SRINAGAR</v>
      </c>
      <c r="I615" s="26" t="s">
        <v>9775</v>
      </c>
      <c r="J615" s="27">
        <v>46115</v>
      </c>
      <c r="K615" s="26">
        <v>9906605500</v>
      </c>
      <c r="L615" s="26" t="s">
        <v>59</v>
      </c>
      <c r="M615" s="28" t="s">
        <v>7607</v>
      </c>
      <c r="N615" s="27">
        <v>46118</v>
      </c>
      <c r="O615" s="26" t="s">
        <v>23</v>
      </c>
      <c r="P615" s="29">
        <v>46115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9779</v>
      </c>
      <c r="C616" s="26" t="s">
        <v>9776</v>
      </c>
      <c r="D616" s="26" t="s">
        <v>9777</v>
      </c>
      <c r="E616" s="26" t="s">
        <v>9778</v>
      </c>
      <c r="F616" s="26" t="s">
        <v>31</v>
      </c>
      <c r="G616" s="26" t="s">
        <v>197</v>
      </c>
      <c r="H616" s="26" t="str">
        <f t="shared" si="19"/>
        <v>POONCH</v>
      </c>
      <c r="I616" s="26" t="s">
        <v>9781</v>
      </c>
      <c r="J616" s="27">
        <v>46115</v>
      </c>
      <c r="K616" s="26">
        <v>7006462986</v>
      </c>
      <c r="L616" s="26" t="s">
        <v>192</v>
      </c>
      <c r="M616" s="28"/>
      <c r="N616" s="27"/>
      <c r="O616" s="26"/>
      <c r="P616" s="29"/>
      <c r="Q616" s="26"/>
      <c r="R616" s="26"/>
    </row>
    <row r="617" spans="1:18" x14ac:dyDescent="0.25">
      <c r="A617" s="26">
        <f t="shared" si="18"/>
        <v>616</v>
      </c>
      <c r="B617" s="26" t="s">
        <v>9782</v>
      </c>
      <c r="C617" s="26" t="s">
        <v>9783</v>
      </c>
      <c r="D617" s="26" t="s">
        <v>9784</v>
      </c>
      <c r="E617" s="26" t="s">
        <v>9785</v>
      </c>
      <c r="F617" s="26" t="s">
        <v>65</v>
      </c>
      <c r="G617" s="26" t="s">
        <v>197</v>
      </c>
      <c r="H617" s="26" t="str">
        <f t="shared" si="19"/>
        <v>BARAMULLA</v>
      </c>
      <c r="I617" s="26" t="s">
        <v>9786</v>
      </c>
      <c r="J617" s="27">
        <v>46115</v>
      </c>
      <c r="K617" s="26">
        <v>9622886443</v>
      </c>
      <c r="L617" s="26" t="s">
        <v>26</v>
      </c>
      <c r="M617" s="28" t="s">
        <v>7445</v>
      </c>
      <c r="N617" s="27">
        <v>46121</v>
      </c>
      <c r="O617" s="26" t="s">
        <v>23</v>
      </c>
      <c r="P617" s="29">
        <v>46116</v>
      </c>
      <c r="Q617" s="26" t="s">
        <v>6454</v>
      </c>
      <c r="R617" s="26"/>
    </row>
    <row r="618" spans="1:18" x14ac:dyDescent="0.25">
      <c r="A618" s="26">
        <f t="shared" si="18"/>
        <v>617</v>
      </c>
      <c r="B618" s="26" t="s">
        <v>9788</v>
      </c>
      <c r="C618" s="26" t="s">
        <v>9789</v>
      </c>
      <c r="D618" s="26" t="s">
        <v>9790</v>
      </c>
      <c r="E618" s="26" t="s">
        <v>9791</v>
      </c>
      <c r="F618" s="26" t="s">
        <v>122</v>
      </c>
      <c r="G618" s="26" t="s">
        <v>197</v>
      </c>
      <c r="H618" s="26" t="str">
        <f t="shared" si="19"/>
        <v>POONCH</v>
      </c>
      <c r="I618" s="26" t="s">
        <v>9795</v>
      </c>
      <c r="J618" s="27">
        <v>46115</v>
      </c>
      <c r="K618" s="26">
        <v>9596721265</v>
      </c>
      <c r="L618" s="26" t="s">
        <v>192</v>
      </c>
      <c r="M618" s="28"/>
      <c r="N618" s="27"/>
      <c r="O618" s="26"/>
      <c r="P618" s="29"/>
      <c r="Q618" s="26"/>
      <c r="R618" s="26"/>
    </row>
    <row r="619" spans="1:18" x14ac:dyDescent="0.25">
      <c r="A619" s="26">
        <f t="shared" si="18"/>
        <v>618</v>
      </c>
      <c r="B619" s="26" t="s">
        <v>9792</v>
      </c>
      <c r="C619" s="26" t="s">
        <v>9793</v>
      </c>
      <c r="D619" s="26" t="s">
        <v>9794</v>
      </c>
      <c r="E619" s="26" t="s">
        <v>1568</v>
      </c>
      <c r="F619" s="26" t="s">
        <v>5</v>
      </c>
      <c r="G619" s="26" t="s">
        <v>197</v>
      </c>
      <c r="H619" s="26" t="str">
        <f t="shared" si="19"/>
        <v>PULWAMA</v>
      </c>
      <c r="I619" s="26" t="s">
        <v>9796</v>
      </c>
      <c r="J619" s="27">
        <v>46115</v>
      </c>
      <c r="K619" s="26">
        <v>9469030391</v>
      </c>
      <c r="L619" s="26" t="s">
        <v>26</v>
      </c>
      <c r="M619" s="28"/>
      <c r="N619" s="27"/>
      <c r="O619" s="26" t="s">
        <v>23</v>
      </c>
      <c r="P619" s="29">
        <v>46116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9799</v>
      </c>
      <c r="C620" s="26" t="s">
        <v>9800</v>
      </c>
      <c r="D620" s="26" t="s">
        <v>9801</v>
      </c>
      <c r="E620" s="26" t="s">
        <v>9802</v>
      </c>
      <c r="F620" s="26" t="s">
        <v>31</v>
      </c>
      <c r="G620" s="26" t="s">
        <v>197</v>
      </c>
      <c r="H620" s="26" t="str">
        <f t="shared" si="19"/>
        <v>POONCH</v>
      </c>
      <c r="I620" s="26" t="s">
        <v>9803</v>
      </c>
      <c r="J620" s="27">
        <v>46116</v>
      </c>
      <c r="K620" s="26">
        <v>7006569087</v>
      </c>
      <c r="L620" s="26" t="s">
        <v>192</v>
      </c>
      <c r="M620" s="28"/>
      <c r="N620" s="27"/>
      <c r="O620" s="26"/>
      <c r="P620" s="29"/>
      <c r="Q620" s="26"/>
      <c r="R620" s="26"/>
    </row>
    <row r="621" spans="1:18" x14ac:dyDescent="0.25">
      <c r="A621" s="26">
        <f t="shared" si="18"/>
        <v>620</v>
      </c>
      <c r="B621" s="26" t="s">
        <v>9804</v>
      </c>
      <c r="C621" s="26" t="s">
        <v>9805</v>
      </c>
      <c r="D621" s="26" t="s">
        <v>9806</v>
      </c>
      <c r="E621" s="26" t="s">
        <v>9807</v>
      </c>
      <c r="F621" s="26" t="s">
        <v>116</v>
      </c>
      <c r="G621" s="26" t="s">
        <v>197</v>
      </c>
      <c r="H621" s="26" t="str">
        <f t="shared" si="19"/>
        <v>SRINAGAR</v>
      </c>
      <c r="I621" s="26" t="s">
        <v>9810</v>
      </c>
      <c r="J621" s="27">
        <v>46116</v>
      </c>
      <c r="K621" s="26">
        <v>7889391399</v>
      </c>
      <c r="L621" s="26" t="s">
        <v>480</v>
      </c>
      <c r="M621" s="28"/>
      <c r="N621" s="27"/>
      <c r="O621" s="26" t="s">
        <v>23</v>
      </c>
      <c r="P621" s="29">
        <v>46116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9813</v>
      </c>
      <c r="C622" s="26" t="s">
        <v>9815</v>
      </c>
      <c r="D622" s="26" t="s">
        <v>9816</v>
      </c>
      <c r="E622" s="26" t="s">
        <v>9814</v>
      </c>
      <c r="F622" s="26" t="s">
        <v>277</v>
      </c>
      <c r="G622" s="26" t="s">
        <v>178</v>
      </c>
      <c r="H622" s="26" t="str">
        <f t="shared" si="19"/>
        <v>ANANTNAG</v>
      </c>
      <c r="I622" s="26" t="s">
        <v>9817</v>
      </c>
      <c r="J622" s="27">
        <v>46118</v>
      </c>
      <c r="K622" s="26">
        <v>9682339805</v>
      </c>
      <c r="L622" s="26" t="s">
        <v>26</v>
      </c>
      <c r="M622" s="28" t="s">
        <v>8215</v>
      </c>
      <c r="N622" s="27">
        <v>46121</v>
      </c>
      <c r="O622" s="26" t="s">
        <v>23</v>
      </c>
      <c r="P622" s="29">
        <v>46118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9819</v>
      </c>
      <c r="C623" s="26" t="s">
        <v>9821</v>
      </c>
      <c r="D623" s="26" t="s">
        <v>9824</v>
      </c>
      <c r="E623" s="26" t="s">
        <v>9820</v>
      </c>
      <c r="F623" s="26" t="s">
        <v>31</v>
      </c>
      <c r="G623" s="26" t="s">
        <v>197</v>
      </c>
      <c r="H623" s="26" t="str">
        <f t="shared" si="19"/>
        <v>SRINAGAR</v>
      </c>
      <c r="I623" s="26" t="s">
        <v>9825</v>
      </c>
      <c r="J623" s="27">
        <v>46119</v>
      </c>
      <c r="K623" s="26">
        <v>7889626233</v>
      </c>
      <c r="L623" s="26" t="s">
        <v>303</v>
      </c>
      <c r="M623" s="28" t="s">
        <v>8081</v>
      </c>
      <c r="N623" s="27">
        <v>46119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9770</v>
      </c>
      <c r="C624" s="26" t="s">
        <v>9767</v>
      </c>
      <c r="D624" s="26" t="s">
        <v>9768</v>
      </c>
      <c r="E624" s="26" t="s">
        <v>9769</v>
      </c>
      <c r="F624" s="26" t="s">
        <v>5</v>
      </c>
      <c r="G624" s="26" t="s">
        <v>196</v>
      </c>
      <c r="H624" s="26" t="str">
        <f t="shared" si="19"/>
        <v>BHARAT</v>
      </c>
      <c r="I624" s="26" t="s">
        <v>9826</v>
      </c>
      <c r="J624" s="27">
        <v>46119</v>
      </c>
      <c r="K624" s="26">
        <v>9149899595</v>
      </c>
      <c r="L624" s="26" t="s">
        <v>6564</v>
      </c>
      <c r="M624" s="28" t="s">
        <v>8215</v>
      </c>
      <c r="N624" s="27">
        <v>46120</v>
      </c>
      <c r="O624" s="26" t="s">
        <v>23</v>
      </c>
      <c r="P624" s="29">
        <v>46119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9830</v>
      </c>
      <c r="C625" s="26" t="s">
        <v>9827</v>
      </c>
      <c r="D625" s="26" t="s">
        <v>9828</v>
      </c>
      <c r="E625" s="26" t="s">
        <v>9829</v>
      </c>
      <c r="F625" s="26" t="s">
        <v>116</v>
      </c>
      <c r="G625" s="26" t="s">
        <v>218</v>
      </c>
      <c r="H625" s="26" t="str">
        <f t="shared" si="19"/>
        <v>BUDGAM</v>
      </c>
      <c r="I625" s="26" t="s">
        <v>9831</v>
      </c>
      <c r="J625" s="27">
        <v>46119</v>
      </c>
      <c r="K625" s="26">
        <v>9697398972</v>
      </c>
      <c r="L625" s="26" t="s">
        <v>8857</v>
      </c>
      <c r="M625" s="28" t="s">
        <v>8581</v>
      </c>
      <c r="N625" s="27">
        <v>46121</v>
      </c>
      <c r="O625" s="26" t="s">
        <v>23</v>
      </c>
      <c r="P625" s="29">
        <v>46121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9834</v>
      </c>
      <c r="C626" s="26" t="s">
        <v>9835</v>
      </c>
      <c r="D626" s="26" t="s">
        <v>9836</v>
      </c>
      <c r="E626" s="26" t="s">
        <v>4926</v>
      </c>
      <c r="F626" s="26" t="s">
        <v>122</v>
      </c>
      <c r="G626" s="26" t="s">
        <v>171</v>
      </c>
      <c r="H626" s="26" t="str">
        <f t="shared" si="19"/>
        <v>KULGAM</v>
      </c>
      <c r="I626" s="26" t="s">
        <v>9845</v>
      </c>
      <c r="J626" s="27">
        <v>46120</v>
      </c>
      <c r="K626" s="26">
        <v>8825053411</v>
      </c>
      <c r="L626" s="26" t="s">
        <v>434</v>
      </c>
      <c r="M626" s="28"/>
      <c r="N626" s="27"/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9837</v>
      </c>
      <c r="C627" s="26" t="s">
        <v>9839</v>
      </c>
      <c r="D627" s="26" t="s">
        <v>9840</v>
      </c>
      <c r="E627" s="26" t="s">
        <v>9838</v>
      </c>
      <c r="F627" s="26" t="s">
        <v>116</v>
      </c>
      <c r="G627" s="26" t="s">
        <v>197</v>
      </c>
      <c r="H627" s="26" t="str">
        <f t="shared" si="19"/>
        <v>SRINAGAR</v>
      </c>
      <c r="I627" s="26" t="s">
        <v>9846</v>
      </c>
      <c r="J627" s="27">
        <v>46120</v>
      </c>
      <c r="K627" s="26">
        <v>7780848903</v>
      </c>
      <c r="L627" s="26" t="s">
        <v>480</v>
      </c>
      <c r="M627" s="28" t="s">
        <v>7763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9841</v>
      </c>
      <c r="C628" s="26" t="s">
        <v>9842</v>
      </c>
      <c r="D628" s="26" t="s">
        <v>9843</v>
      </c>
      <c r="E628" s="26" t="s">
        <v>9844</v>
      </c>
      <c r="F628" s="26" t="s">
        <v>116</v>
      </c>
      <c r="G628" s="26" t="s">
        <v>218</v>
      </c>
      <c r="H628" s="26" t="str">
        <f t="shared" si="19"/>
        <v>BARAMULLA</v>
      </c>
      <c r="I628" s="26" t="s">
        <v>9847</v>
      </c>
      <c r="J628" s="27">
        <v>46120</v>
      </c>
      <c r="K628" s="26">
        <v>9541046722</v>
      </c>
      <c r="L628" s="26" t="s">
        <v>104</v>
      </c>
      <c r="M628" s="28" t="s">
        <v>7883</v>
      </c>
      <c r="N628" s="27">
        <v>46121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9851</v>
      </c>
      <c r="C629" s="26" t="s">
        <v>9848</v>
      </c>
      <c r="D629" s="26" t="s">
        <v>9849</v>
      </c>
      <c r="E629" s="26" t="s">
        <v>9850</v>
      </c>
      <c r="F629" s="26" t="s">
        <v>12</v>
      </c>
      <c r="G629" s="26" t="s">
        <v>178</v>
      </c>
      <c r="H629" s="26" t="str">
        <f t="shared" si="19"/>
        <v>SRINAGAR</v>
      </c>
      <c r="I629" s="26" t="s">
        <v>9853</v>
      </c>
      <c r="J629" s="27">
        <v>46120</v>
      </c>
      <c r="K629" s="26">
        <v>9622429731</v>
      </c>
      <c r="L629" s="26" t="s">
        <v>303</v>
      </c>
      <c r="M629" s="28" t="s">
        <v>7445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9855</v>
      </c>
      <c r="C630" s="26" t="s">
        <v>9856</v>
      </c>
      <c r="D630" s="26" t="s">
        <v>9863</v>
      </c>
      <c r="E630" s="26" t="s">
        <v>9857</v>
      </c>
      <c r="F630" s="26" t="s">
        <v>31</v>
      </c>
      <c r="G630" s="26" t="s">
        <v>171</v>
      </c>
      <c r="H630" s="26" t="str">
        <f t="shared" si="19"/>
        <v>SRINAGAR</v>
      </c>
      <c r="I630" s="26" t="s">
        <v>9858</v>
      </c>
      <c r="J630" s="27">
        <v>46120</v>
      </c>
      <c r="K630" s="26">
        <v>7006487784</v>
      </c>
      <c r="L630" s="26" t="s">
        <v>26</v>
      </c>
      <c r="M630" s="28" t="s">
        <v>9908</v>
      </c>
      <c r="N630" s="27">
        <v>46122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9859</v>
      </c>
      <c r="C631" s="26" t="s">
        <v>9860</v>
      </c>
      <c r="D631" s="26" t="s">
        <v>9864</v>
      </c>
      <c r="E631" s="26" t="s">
        <v>9861</v>
      </c>
      <c r="F631" s="26" t="s">
        <v>31</v>
      </c>
      <c r="G631" s="26" t="s">
        <v>197</v>
      </c>
      <c r="H631" s="26" t="str">
        <f t="shared" si="19"/>
        <v>BUDGAM</v>
      </c>
      <c r="I631" s="26" t="s">
        <v>9862</v>
      </c>
      <c r="J631" s="27">
        <v>46120</v>
      </c>
      <c r="K631" s="26">
        <v>7006744435</v>
      </c>
      <c r="L631" s="26" t="s">
        <v>26</v>
      </c>
      <c r="M631" s="28"/>
      <c r="N631" s="27"/>
      <c r="O631" s="26" t="s">
        <v>23</v>
      </c>
      <c r="P631" s="29">
        <v>46120</v>
      </c>
      <c r="Q631" s="26" t="s">
        <v>6454</v>
      </c>
      <c r="R631" s="26"/>
    </row>
    <row r="632" spans="1:18" x14ac:dyDescent="0.25">
      <c r="A632" s="26">
        <f t="shared" si="18"/>
        <v>631</v>
      </c>
      <c r="B632" s="26" t="s">
        <v>9877</v>
      </c>
      <c r="C632" s="26" t="s">
        <v>9875</v>
      </c>
      <c r="D632" s="26" t="s">
        <v>9876</v>
      </c>
      <c r="E632" s="26" t="s">
        <v>9874</v>
      </c>
      <c r="F632" s="26" t="s">
        <v>116</v>
      </c>
      <c r="G632" s="26" t="s">
        <v>218</v>
      </c>
      <c r="H632" s="26" t="str">
        <f t="shared" si="19"/>
        <v>PULWAMA</v>
      </c>
      <c r="I632" s="26" t="s">
        <v>9882</v>
      </c>
      <c r="J632" s="27">
        <v>46121</v>
      </c>
      <c r="K632" s="26">
        <v>9906638017</v>
      </c>
      <c r="L632" s="26" t="s">
        <v>6515</v>
      </c>
      <c r="M632" s="26" t="s">
        <v>10075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9884</v>
      </c>
      <c r="C633" s="26" t="s">
        <v>9885</v>
      </c>
      <c r="D633" s="26" t="s">
        <v>9894</v>
      </c>
      <c r="E633" s="26" t="s">
        <v>9886</v>
      </c>
      <c r="F633" s="26" t="s">
        <v>116</v>
      </c>
      <c r="G633" s="26" t="s">
        <v>197</v>
      </c>
      <c r="H633" s="26" t="str">
        <f t="shared" si="19"/>
        <v>PULWAMA</v>
      </c>
      <c r="I633" s="26" t="s">
        <v>9890</v>
      </c>
      <c r="J633" s="27">
        <v>46121</v>
      </c>
      <c r="K633" s="26">
        <v>8082812529</v>
      </c>
      <c r="L633" s="26" t="s">
        <v>6515</v>
      </c>
      <c r="M633" s="26" t="s">
        <v>10075</v>
      </c>
      <c r="N633" s="27">
        <v>46125</v>
      </c>
      <c r="O633" s="26"/>
      <c r="P633" s="29"/>
      <c r="Q633" s="26"/>
      <c r="R633" s="26"/>
    </row>
    <row r="634" spans="1:18" x14ac:dyDescent="0.25">
      <c r="A634" s="26">
        <f t="shared" si="18"/>
        <v>633</v>
      </c>
      <c r="B634" s="26" t="s">
        <v>9873</v>
      </c>
      <c r="C634" s="26" t="s">
        <v>9871</v>
      </c>
      <c r="D634" s="26" t="s">
        <v>9872</v>
      </c>
      <c r="E634" s="26" t="s">
        <v>3450</v>
      </c>
      <c r="F634" s="26" t="s">
        <v>31</v>
      </c>
      <c r="G634" s="26" t="s">
        <v>197</v>
      </c>
      <c r="H634" s="26" t="str">
        <f t="shared" si="19"/>
        <v>BUDGAM</v>
      </c>
      <c r="I634" s="26" t="s">
        <v>9883</v>
      </c>
      <c r="J634" s="27">
        <v>46121</v>
      </c>
      <c r="K634" s="26">
        <v>9622744936</v>
      </c>
      <c r="L634" s="26" t="s">
        <v>2168</v>
      </c>
      <c r="M634" s="28" t="s">
        <v>7706</v>
      </c>
      <c r="N634" s="27">
        <v>46121</v>
      </c>
      <c r="O634" s="26" t="s">
        <v>23</v>
      </c>
      <c r="P634" s="29">
        <v>46121</v>
      </c>
      <c r="Q634" s="26" t="s">
        <v>6454</v>
      </c>
      <c r="R634" s="26"/>
    </row>
    <row r="635" spans="1:18" s="42" customFormat="1" x14ac:dyDescent="0.25">
      <c r="A635" s="26">
        <f t="shared" si="18"/>
        <v>634</v>
      </c>
      <c r="B635" s="26" t="s">
        <v>9878</v>
      </c>
      <c r="C635" s="26" t="s">
        <v>9879</v>
      </c>
      <c r="D635" s="26" t="s">
        <v>9880</v>
      </c>
      <c r="E635" s="26" t="s">
        <v>826</v>
      </c>
      <c r="F635" s="26" t="s">
        <v>65</v>
      </c>
      <c r="G635" s="26" t="s">
        <v>197</v>
      </c>
      <c r="H635" s="26" t="str">
        <f t="shared" si="19"/>
        <v>PULWAMA</v>
      </c>
      <c r="I635" s="26" t="s">
        <v>9881</v>
      </c>
      <c r="J635" s="27">
        <v>46121</v>
      </c>
      <c r="K635" s="26">
        <v>9541285629</v>
      </c>
      <c r="L635" s="26" t="s">
        <v>6446</v>
      </c>
      <c r="M635" s="28"/>
      <c r="N635" s="27"/>
      <c r="O635" s="26"/>
      <c r="P635" s="29"/>
      <c r="Q635" s="26"/>
      <c r="R635" s="26"/>
    </row>
    <row r="636" spans="1:18" x14ac:dyDescent="0.25">
      <c r="A636" s="26">
        <f t="shared" si="18"/>
        <v>635</v>
      </c>
      <c r="B636" s="26" t="s">
        <v>9895</v>
      </c>
      <c r="C636" s="26" t="s">
        <v>9897</v>
      </c>
      <c r="D636" s="26" t="s">
        <v>9896</v>
      </c>
      <c r="E636" s="26" t="s">
        <v>4191</v>
      </c>
      <c r="F636" s="26" t="s">
        <v>6415</v>
      </c>
      <c r="G636" s="26" t="s">
        <v>172</v>
      </c>
      <c r="H636" s="26" t="str">
        <f t="shared" si="19"/>
        <v>SRINAGAR</v>
      </c>
      <c r="I636" s="26" t="s">
        <v>9906</v>
      </c>
      <c r="J636" s="27">
        <v>46121</v>
      </c>
      <c r="K636" s="26">
        <v>7006338991</v>
      </c>
      <c r="L636" s="26" t="s">
        <v>2168</v>
      </c>
      <c r="M636" s="28" t="s">
        <v>7607</v>
      </c>
      <c r="N636" s="27">
        <v>46122</v>
      </c>
      <c r="O636" s="26" t="s">
        <v>23</v>
      </c>
      <c r="P636" s="29">
        <v>46122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9898</v>
      </c>
      <c r="C637" s="26" t="s">
        <v>9899</v>
      </c>
      <c r="D637" s="26" t="s">
        <v>9900</v>
      </c>
      <c r="E637" s="26" t="s">
        <v>9901</v>
      </c>
      <c r="F637" s="26" t="s">
        <v>6415</v>
      </c>
      <c r="G637" s="26" t="s">
        <v>171</v>
      </c>
      <c r="H637" s="26" t="str">
        <f t="shared" si="19"/>
        <v>SRINAGAR</v>
      </c>
      <c r="I637" s="26" t="s">
        <v>9905</v>
      </c>
      <c r="J637" s="27">
        <v>46121</v>
      </c>
      <c r="K637" s="26">
        <v>7006088212</v>
      </c>
      <c r="L637" s="26" t="s">
        <v>191</v>
      </c>
      <c r="M637" s="28" t="s">
        <v>10032</v>
      </c>
      <c r="N637" s="27">
        <v>46125</v>
      </c>
      <c r="O637" s="26" t="s">
        <v>23</v>
      </c>
      <c r="P637" s="29">
        <v>46123</v>
      </c>
      <c r="Q637" s="26" t="s">
        <v>6454</v>
      </c>
      <c r="R637" s="26"/>
    </row>
    <row r="638" spans="1:18" x14ac:dyDescent="0.25">
      <c r="A638" s="26">
        <f t="shared" si="18"/>
        <v>637</v>
      </c>
      <c r="B638" s="26" t="s">
        <v>9924</v>
      </c>
      <c r="C638" s="26" t="s">
        <v>9925</v>
      </c>
      <c r="D638" s="26" t="s">
        <v>9926</v>
      </c>
      <c r="E638" s="26" t="s">
        <v>9927</v>
      </c>
      <c r="F638" s="26" t="s">
        <v>12</v>
      </c>
      <c r="G638" s="26" t="s">
        <v>197</v>
      </c>
      <c r="H638" s="26" t="str">
        <f t="shared" si="19"/>
        <v>BUDGAM</v>
      </c>
      <c r="I638" s="26" t="s">
        <v>9931</v>
      </c>
      <c r="J638" s="27">
        <v>46122</v>
      </c>
      <c r="K638" s="26">
        <v>9797737824</v>
      </c>
      <c r="L638" s="26" t="s">
        <v>8591</v>
      </c>
      <c r="M638" s="28" t="s">
        <v>10000</v>
      </c>
      <c r="N638" s="27">
        <v>46125</v>
      </c>
      <c r="O638" s="26"/>
      <c r="P638" s="29"/>
      <c r="Q638" s="26"/>
      <c r="R638" s="26"/>
    </row>
    <row r="639" spans="1:18" x14ac:dyDescent="0.25">
      <c r="A639" s="26">
        <f t="shared" si="18"/>
        <v>638</v>
      </c>
      <c r="B639" s="26" t="s">
        <v>9912</v>
      </c>
      <c r="C639" s="26" t="s">
        <v>9909</v>
      </c>
      <c r="D639" s="26" t="s">
        <v>9910</v>
      </c>
      <c r="E639" s="26" t="s">
        <v>9911</v>
      </c>
      <c r="F639" s="26" t="s">
        <v>6415</v>
      </c>
      <c r="G639" s="26" t="s">
        <v>197</v>
      </c>
      <c r="H639" s="26" t="str">
        <f t="shared" si="19"/>
        <v>BUDGAM</v>
      </c>
      <c r="I639" s="26" t="s">
        <v>9913</v>
      </c>
      <c r="J639" s="27">
        <v>46122</v>
      </c>
      <c r="K639" s="26">
        <v>9149702486</v>
      </c>
      <c r="L639" s="26" t="s">
        <v>7534</v>
      </c>
      <c r="M639" s="28" t="s">
        <v>8081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si="18"/>
        <v>639</v>
      </c>
      <c r="B640" s="26" t="s">
        <v>9917</v>
      </c>
      <c r="C640" s="26" t="s">
        <v>9914</v>
      </c>
      <c r="D640" s="26" t="s">
        <v>9915</v>
      </c>
      <c r="E640" s="26" t="s">
        <v>9916</v>
      </c>
      <c r="F640" s="26" t="s">
        <v>116</v>
      </c>
      <c r="G640" s="26" t="s">
        <v>197</v>
      </c>
      <c r="H640" s="26" t="str">
        <f t="shared" si="19"/>
        <v>NEW</v>
      </c>
      <c r="I640" s="26"/>
      <c r="J640" s="27">
        <v>46122</v>
      </c>
      <c r="K640" s="26">
        <v>6005142577</v>
      </c>
      <c r="L640" s="26" t="s">
        <v>480</v>
      </c>
      <c r="M640" s="28"/>
      <c r="N640" s="27"/>
      <c r="O640" s="26"/>
      <c r="P640" s="29"/>
      <c r="Q640" s="26"/>
      <c r="R640" s="26"/>
    </row>
    <row r="641" spans="1:18" x14ac:dyDescent="0.25">
      <c r="A641" s="26">
        <f t="shared" si="18"/>
        <v>640</v>
      </c>
      <c r="B641" s="26" t="s">
        <v>9923</v>
      </c>
      <c r="C641" s="26" t="s">
        <v>9919</v>
      </c>
      <c r="D641" s="26" t="s">
        <v>9920</v>
      </c>
      <c r="E641" s="26" t="s">
        <v>9921</v>
      </c>
      <c r="F641" s="26" t="s">
        <v>12</v>
      </c>
      <c r="G641" s="26" t="s">
        <v>178</v>
      </c>
      <c r="H641" s="26" t="str">
        <f t="shared" si="19"/>
        <v>BUDGAM</v>
      </c>
      <c r="I641" s="26" t="s">
        <v>9922</v>
      </c>
      <c r="J641" s="27">
        <v>46122</v>
      </c>
      <c r="K641" s="26">
        <v>9103105509</v>
      </c>
      <c r="L641" s="26" t="s">
        <v>1513</v>
      </c>
      <c r="M641" s="28" t="s">
        <v>9032</v>
      </c>
      <c r="N641" s="27">
        <v>46127</v>
      </c>
      <c r="O641" s="26" t="s">
        <v>23</v>
      </c>
      <c r="P641" s="29">
        <v>46122</v>
      </c>
      <c r="Q641" s="26" t="s">
        <v>6454</v>
      </c>
      <c r="R641" s="26"/>
    </row>
    <row r="642" spans="1:18" x14ac:dyDescent="0.25">
      <c r="A642" s="26">
        <f t="shared" ref="A642:A672" si="20">ROW()-1</f>
        <v>641</v>
      </c>
      <c r="B642" s="26" t="s">
        <v>9935</v>
      </c>
      <c r="C642" s="26" t="s">
        <v>9936</v>
      </c>
      <c r="D642" s="26" t="s">
        <v>9937</v>
      </c>
      <c r="E642" s="26" t="s">
        <v>9938</v>
      </c>
      <c r="F642" s="26" t="s">
        <v>65</v>
      </c>
      <c r="G642" s="26" t="s">
        <v>223</v>
      </c>
      <c r="H642" s="26" t="str">
        <f t="shared" ref="H642:H668" si="21">IF(LEFT(I642,4)="JK13","PULWAMA",IF(LEFT(I642,4)="JK01","SRINAGAR",IF(LEFT(I642,4)="JK04","BUDGAM",IF(LEFT(I642,4)="JK03","ANANTNAG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</f>
        <v>PULWAMA</v>
      </c>
      <c r="I642" s="26" t="s">
        <v>9940</v>
      </c>
      <c r="J642" s="27">
        <v>46123</v>
      </c>
      <c r="K642" s="26">
        <v>8825056800</v>
      </c>
      <c r="L642" s="26" t="s">
        <v>9939</v>
      </c>
      <c r="M642" s="28"/>
      <c r="N642" s="27"/>
      <c r="O642" s="26" t="s">
        <v>23</v>
      </c>
      <c r="P642" s="29">
        <v>46123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9941</v>
      </c>
      <c r="C643" s="26" t="s">
        <v>9943</v>
      </c>
      <c r="D643" s="26" t="s">
        <v>9944</v>
      </c>
      <c r="E643" s="26" t="s">
        <v>9942</v>
      </c>
      <c r="F643" s="26" t="s">
        <v>277</v>
      </c>
      <c r="G643" s="26" t="s">
        <v>196</v>
      </c>
      <c r="H643" s="26" t="str">
        <f t="shared" si="21"/>
        <v>KUPWARA</v>
      </c>
      <c r="I643" s="26" t="s">
        <v>9950</v>
      </c>
      <c r="J643" s="27">
        <v>46123</v>
      </c>
      <c r="K643" s="26">
        <v>7051986605</v>
      </c>
      <c r="L643" s="26" t="s">
        <v>18</v>
      </c>
      <c r="M643" s="28" t="s">
        <v>7765</v>
      </c>
      <c r="N643" s="27">
        <v>46123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9945</v>
      </c>
      <c r="C644" s="26" t="s">
        <v>9946</v>
      </c>
      <c r="D644" s="26" t="s">
        <v>9947</v>
      </c>
      <c r="E644" s="26" t="s">
        <v>9948</v>
      </c>
      <c r="F644" s="26" t="s">
        <v>31</v>
      </c>
      <c r="G644" s="26" t="s">
        <v>172</v>
      </c>
      <c r="H644" s="26" t="str">
        <f t="shared" si="21"/>
        <v>SRINAGAR</v>
      </c>
      <c r="I644" s="26" t="s">
        <v>9949</v>
      </c>
      <c r="J644" s="27">
        <v>46123</v>
      </c>
      <c r="K644" s="26">
        <v>7006765311</v>
      </c>
      <c r="L644" s="26" t="s">
        <v>68</v>
      </c>
      <c r="M644" s="28" t="s">
        <v>8152</v>
      </c>
      <c r="N644" s="27">
        <v>46126</v>
      </c>
      <c r="O644" s="26" t="s">
        <v>23</v>
      </c>
      <c r="P644" s="29">
        <v>46126</v>
      </c>
      <c r="Q644" s="26" t="s">
        <v>6454</v>
      </c>
      <c r="R644" s="26"/>
    </row>
    <row r="645" spans="1:18" x14ac:dyDescent="0.25">
      <c r="A645" s="26">
        <f t="shared" si="20"/>
        <v>644</v>
      </c>
      <c r="B645" s="26" t="s">
        <v>9951</v>
      </c>
      <c r="C645" s="26" t="s">
        <v>9952</v>
      </c>
      <c r="D645" s="26" t="s">
        <v>9953</v>
      </c>
      <c r="E645" s="26" t="s">
        <v>9954</v>
      </c>
      <c r="F645" s="26" t="s">
        <v>116</v>
      </c>
      <c r="G645" s="26" t="s">
        <v>172</v>
      </c>
      <c r="H645" s="26" t="str">
        <f t="shared" si="21"/>
        <v>BUDGAM</v>
      </c>
      <c r="I645" s="26" t="s">
        <v>9959</v>
      </c>
      <c r="J645" s="27">
        <v>46123</v>
      </c>
      <c r="K645" s="26">
        <v>7889614481</v>
      </c>
      <c r="L645" s="26" t="s">
        <v>68</v>
      </c>
      <c r="M645" s="28"/>
      <c r="N645" s="27"/>
      <c r="O645" s="26" t="s">
        <v>23</v>
      </c>
      <c r="P645" s="29">
        <v>46123</v>
      </c>
      <c r="Q645" s="26" t="s">
        <v>6454</v>
      </c>
      <c r="R645" s="26"/>
    </row>
    <row r="646" spans="1:18" x14ac:dyDescent="0.25">
      <c r="A646" s="26">
        <f t="shared" si="20"/>
        <v>645</v>
      </c>
      <c r="B646" s="26" t="s">
        <v>9955</v>
      </c>
      <c r="C646" s="26" t="s">
        <v>9956</v>
      </c>
      <c r="D646" s="26" t="s">
        <v>9957</v>
      </c>
      <c r="E646" s="26" t="s">
        <v>9958</v>
      </c>
      <c r="F646" s="26" t="s">
        <v>116</v>
      </c>
      <c r="G646" s="26" t="s">
        <v>197</v>
      </c>
      <c r="H646" s="26" t="str">
        <f t="shared" si="21"/>
        <v>SHOPIAN</v>
      </c>
      <c r="I646" s="26" t="s">
        <v>9960</v>
      </c>
      <c r="J646" s="27">
        <v>46123</v>
      </c>
      <c r="K646" s="26">
        <v>9541124924</v>
      </c>
      <c r="L646" s="26" t="s">
        <v>6564</v>
      </c>
      <c r="M646" s="28"/>
      <c r="N646" s="27"/>
      <c r="O646" s="26"/>
      <c r="P646" s="29"/>
      <c r="Q646" s="26"/>
      <c r="R646" s="26"/>
    </row>
    <row r="647" spans="1:18" x14ac:dyDescent="0.25">
      <c r="A647" s="26">
        <f t="shared" si="20"/>
        <v>646</v>
      </c>
      <c r="B647" s="26" t="s">
        <v>9966</v>
      </c>
      <c r="C647" s="26" t="s">
        <v>9967</v>
      </c>
      <c r="D647" s="26" t="s">
        <v>9968</v>
      </c>
      <c r="E647" s="26" t="s">
        <v>9969</v>
      </c>
      <c r="F647" s="26" t="s">
        <v>31</v>
      </c>
      <c r="G647" s="26" t="s">
        <v>196</v>
      </c>
      <c r="H647" s="26" t="str">
        <f t="shared" si="21"/>
        <v>PULWAMA</v>
      </c>
      <c r="I647" s="26" t="s">
        <v>9986</v>
      </c>
      <c r="J647" s="27">
        <v>46125</v>
      </c>
      <c r="K647" s="26">
        <v>9797896325</v>
      </c>
      <c r="L647" s="26" t="s">
        <v>9974</v>
      </c>
      <c r="M647" s="26" t="s">
        <v>7705</v>
      </c>
      <c r="N647" s="27">
        <v>46128</v>
      </c>
      <c r="O647" s="26"/>
      <c r="P647" s="29"/>
      <c r="Q647" s="26"/>
      <c r="R647" s="26"/>
    </row>
    <row r="648" spans="1:18" x14ac:dyDescent="0.25">
      <c r="A648" s="26">
        <f t="shared" si="20"/>
        <v>647</v>
      </c>
      <c r="B648" s="26" t="s">
        <v>9971</v>
      </c>
      <c r="C648" s="26" t="s">
        <v>9972</v>
      </c>
      <c r="D648" s="26" t="s">
        <v>9973</v>
      </c>
      <c r="E648" s="26" t="s">
        <v>104</v>
      </c>
      <c r="F648" s="26" t="s">
        <v>31</v>
      </c>
      <c r="G648" s="26" t="s">
        <v>196</v>
      </c>
      <c r="H648" s="26" t="str">
        <f t="shared" si="21"/>
        <v>SRINAGAR</v>
      </c>
      <c r="I648" s="26" t="s">
        <v>9980</v>
      </c>
      <c r="J648" s="27">
        <v>46125</v>
      </c>
      <c r="K648" s="26">
        <v>9622292911</v>
      </c>
      <c r="L648" s="26" t="s">
        <v>26</v>
      </c>
      <c r="M648" s="28"/>
      <c r="N648" s="27"/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9975</v>
      </c>
      <c r="C649" s="26" t="s">
        <v>9976</v>
      </c>
      <c r="D649" s="26" t="s">
        <v>9977</v>
      </c>
      <c r="E649" s="26" t="s">
        <v>9978</v>
      </c>
      <c r="F649" s="26" t="s">
        <v>9700</v>
      </c>
      <c r="G649" s="26" t="s">
        <v>178</v>
      </c>
      <c r="H649" s="26" t="str">
        <f t="shared" si="21"/>
        <v>KULGAM</v>
      </c>
      <c r="I649" s="26" t="s">
        <v>9979</v>
      </c>
      <c r="J649" s="27">
        <v>46125</v>
      </c>
      <c r="K649" s="26">
        <v>9697037304</v>
      </c>
      <c r="L649" s="26" t="s">
        <v>163</v>
      </c>
      <c r="M649" s="28" t="s">
        <v>7883</v>
      </c>
      <c r="N649" s="27">
        <v>46128</v>
      </c>
      <c r="O649" s="26" t="s">
        <v>23</v>
      </c>
      <c r="P649" s="29">
        <v>46125</v>
      </c>
      <c r="Q649" s="26" t="s">
        <v>6454</v>
      </c>
      <c r="R649" s="26"/>
    </row>
    <row r="650" spans="1:18" s="42" customFormat="1" x14ac:dyDescent="0.25">
      <c r="A650" s="26">
        <f t="shared" si="20"/>
        <v>649</v>
      </c>
      <c r="B650" s="26" t="s">
        <v>9981</v>
      </c>
      <c r="C650" s="26" t="s">
        <v>9982</v>
      </c>
      <c r="D650" s="26" t="s">
        <v>9983</v>
      </c>
      <c r="E650" s="26" t="s">
        <v>9984</v>
      </c>
      <c r="F650" s="26" t="s">
        <v>98</v>
      </c>
      <c r="G650" s="26" t="s">
        <v>171</v>
      </c>
      <c r="H650" s="26" t="str">
        <f t="shared" si="21"/>
        <v>BUDGAM</v>
      </c>
      <c r="I650" s="26" t="s">
        <v>9985</v>
      </c>
      <c r="J650" s="27">
        <v>46125</v>
      </c>
      <c r="K650" s="26">
        <v>7006558308</v>
      </c>
      <c r="L650" s="26" t="s">
        <v>2168</v>
      </c>
      <c r="M650" s="28" t="s">
        <v>7706</v>
      </c>
      <c r="N650" s="27">
        <v>46125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9987</v>
      </c>
      <c r="C651" s="26" t="s">
        <v>9988</v>
      </c>
      <c r="D651" s="26" t="s">
        <v>9989</v>
      </c>
      <c r="E651" s="26" t="s">
        <v>9990</v>
      </c>
      <c r="F651" s="26" t="s">
        <v>12</v>
      </c>
      <c r="G651" s="26" t="s">
        <v>178</v>
      </c>
      <c r="H651" s="26" t="str">
        <f t="shared" si="21"/>
        <v>PULWAMA</v>
      </c>
      <c r="I651" s="26" t="s">
        <v>10003</v>
      </c>
      <c r="J651" s="27">
        <v>46125</v>
      </c>
      <c r="K651" s="26">
        <v>8491830269</v>
      </c>
      <c r="L651" s="26" t="s">
        <v>68</v>
      </c>
      <c r="M651" s="28"/>
      <c r="N651" s="27"/>
      <c r="O651" s="26" t="s">
        <v>23</v>
      </c>
      <c r="P651" s="29">
        <v>46126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9991</v>
      </c>
      <c r="C652" s="26" t="s">
        <v>9993</v>
      </c>
      <c r="D652" s="26" t="s">
        <v>9994</v>
      </c>
      <c r="E652" s="26" t="s">
        <v>9992</v>
      </c>
      <c r="F652" s="26" t="s">
        <v>8401</v>
      </c>
      <c r="G652" s="26" t="s">
        <v>9995</v>
      </c>
      <c r="H652" s="26" t="str">
        <f t="shared" si="21"/>
        <v>SRINAGAR</v>
      </c>
      <c r="I652" s="26" t="s">
        <v>10002</v>
      </c>
      <c r="J652" s="27">
        <v>46125</v>
      </c>
      <c r="K652" s="26">
        <v>9906614866</v>
      </c>
      <c r="L652" s="26" t="s">
        <v>547</v>
      </c>
      <c r="M652" s="28"/>
      <c r="N652" s="27"/>
      <c r="O652" s="26" t="s">
        <v>23</v>
      </c>
      <c r="P652" s="29">
        <v>46125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9996</v>
      </c>
      <c r="C653" s="26" t="s">
        <v>9997</v>
      </c>
      <c r="D653" s="26" t="s">
        <v>9998</v>
      </c>
      <c r="E653" s="26" t="s">
        <v>9999</v>
      </c>
      <c r="F653" s="26" t="s">
        <v>12</v>
      </c>
      <c r="G653" s="26" t="s">
        <v>197</v>
      </c>
      <c r="H653" s="26" t="str">
        <f t="shared" si="21"/>
        <v>BUDGAM</v>
      </c>
      <c r="I653" s="26" t="s">
        <v>10001</v>
      </c>
      <c r="J653" s="27">
        <v>46125</v>
      </c>
      <c r="K653" s="26">
        <v>9419006471</v>
      </c>
      <c r="L653" s="26" t="s">
        <v>26</v>
      </c>
      <c r="M653" s="28" t="s">
        <v>7606</v>
      </c>
      <c r="N653" s="27">
        <v>46127</v>
      </c>
      <c r="O653" s="26" t="s">
        <v>23</v>
      </c>
      <c r="P653" s="29">
        <v>46125</v>
      </c>
      <c r="Q653" s="26" t="s">
        <v>6454</v>
      </c>
      <c r="R653" s="26"/>
    </row>
    <row r="654" spans="1:18" x14ac:dyDescent="0.25">
      <c r="A654" s="26">
        <f t="shared" si="20"/>
        <v>653</v>
      </c>
      <c r="B654" s="26" t="s">
        <v>10010</v>
      </c>
      <c r="C654" s="26" t="s">
        <v>10011</v>
      </c>
      <c r="D654" s="26" t="s">
        <v>10017</v>
      </c>
      <c r="E654" s="26" t="s">
        <v>10012</v>
      </c>
      <c r="F654" s="26" t="s">
        <v>116</v>
      </c>
      <c r="G654" s="26" t="s">
        <v>172</v>
      </c>
      <c r="H654" s="26" t="str">
        <f t="shared" si="21"/>
        <v>SRINAGAR</v>
      </c>
      <c r="I654" s="26" t="s">
        <v>10019</v>
      </c>
      <c r="J654" s="27">
        <v>46126</v>
      </c>
      <c r="K654" s="26">
        <v>6005377352</v>
      </c>
      <c r="L654" s="26" t="s">
        <v>2244</v>
      </c>
      <c r="M654" s="28" t="s">
        <v>8152</v>
      </c>
      <c r="N654" s="27">
        <v>46127</v>
      </c>
      <c r="O654" s="26" t="s">
        <v>23</v>
      </c>
      <c r="P654" s="29">
        <v>46127</v>
      </c>
      <c r="Q654" s="26" t="s">
        <v>6454</v>
      </c>
      <c r="R654" s="26"/>
    </row>
    <row r="655" spans="1:18" x14ac:dyDescent="0.25">
      <c r="A655" s="26">
        <f t="shared" si="20"/>
        <v>654</v>
      </c>
      <c r="B655" s="26" t="s">
        <v>10013</v>
      </c>
      <c r="C655" s="26" t="s">
        <v>10014</v>
      </c>
      <c r="D655" s="26" t="s">
        <v>10018</v>
      </c>
      <c r="E655" s="26" t="s">
        <v>10016</v>
      </c>
      <c r="F655" s="26" t="s">
        <v>10015</v>
      </c>
      <c r="G655" s="26" t="s">
        <v>178</v>
      </c>
      <c r="H655" s="26" t="str">
        <f t="shared" si="21"/>
        <v>SRINAGAR</v>
      </c>
      <c r="I655" s="26" t="s">
        <v>10020</v>
      </c>
      <c r="J655" s="27">
        <v>46126</v>
      </c>
      <c r="K655" s="26">
        <v>7006763104</v>
      </c>
      <c r="L655" s="26" t="s">
        <v>303</v>
      </c>
      <c r="M655" s="28" t="s">
        <v>7606</v>
      </c>
      <c r="N655" s="27">
        <v>46129</v>
      </c>
      <c r="O655" s="26"/>
      <c r="P655" s="29"/>
      <c r="Q655" s="26"/>
      <c r="R655" s="26"/>
    </row>
    <row r="656" spans="1:18" x14ac:dyDescent="0.25">
      <c r="A656" s="26">
        <f t="shared" si="20"/>
        <v>655</v>
      </c>
      <c r="B656" s="26" t="s">
        <v>10021</v>
      </c>
      <c r="C656" s="26" t="s">
        <v>10023</v>
      </c>
      <c r="D656" s="26" t="s">
        <v>10024</v>
      </c>
      <c r="E656" s="26" t="s">
        <v>10022</v>
      </c>
      <c r="F656" s="26" t="s">
        <v>234</v>
      </c>
      <c r="G656" s="26" t="s">
        <v>197</v>
      </c>
      <c r="H656" s="26" t="str">
        <f t="shared" si="21"/>
        <v>TEMP</v>
      </c>
      <c r="I656" s="26" t="s">
        <v>10027</v>
      </c>
      <c r="J656" s="27">
        <v>46126</v>
      </c>
      <c r="K656" s="26">
        <v>8492067254</v>
      </c>
      <c r="L656" s="26" t="s">
        <v>480</v>
      </c>
      <c r="M656" s="28"/>
      <c r="N656" s="27"/>
      <c r="O656" s="26"/>
      <c r="P656" s="29"/>
      <c r="Q656" s="26"/>
      <c r="R656" s="26"/>
    </row>
    <row r="657" spans="1:18" x14ac:dyDescent="0.25">
      <c r="A657" s="26">
        <f t="shared" si="20"/>
        <v>656</v>
      </c>
      <c r="B657" s="26" t="s">
        <v>10031</v>
      </c>
      <c r="C657" s="26" t="s">
        <v>10028</v>
      </c>
      <c r="D657" s="26" t="s">
        <v>10029</v>
      </c>
      <c r="E657" s="26" t="s">
        <v>10030</v>
      </c>
      <c r="F657" s="26" t="s">
        <v>12</v>
      </c>
      <c r="G657" s="26" t="s">
        <v>197</v>
      </c>
      <c r="H657" s="26" t="str">
        <f t="shared" si="21"/>
        <v>PULWAMA</v>
      </c>
      <c r="I657" s="26" t="s">
        <v>10037</v>
      </c>
      <c r="J657" s="27">
        <v>46127</v>
      </c>
      <c r="K657" s="26">
        <v>6005336023</v>
      </c>
      <c r="L657" s="26" t="s">
        <v>173</v>
      </c>
      <c r="M657" s="28"/>
      <c r="N657" s="27"/>
      <c r="O657" s="26" t="s">
        <v>23</v>
      </c>
      <c r="P657" s="29">
        <v>46127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10033</v>
      </c>
      <c r="C658" s="26" t="s">
        <v>10034</v>
      </c>
      <c r="D658" s="26" t="s">
        <v>10036</v>
      </c>
      <c r="E658" s="26" t="s">
        <v>10035</v>
      </c>
      <c r="F658" s="26" t="s">
        <v>5</v>
      </c>
      <c r="G658" s="26" t="s">
        <v>197</v>
      </c>
      <c r="H658" s="26" t="str">
        <f t="shared" si="21"/>
        <v>SRINAGAR</v>
      </c>
      <c r="I658" s="26" t="s">
        <v>10038</v>
      </c>
      <c r="J658" s="27">
        <v>46127</v>
      </c>
      <c r="K658" s="26">
        <v>7780912719</v>
      </c>
      <c r="L658" s="26" t="s">
        <v>191</v>
      </c>
      <c r="M658" s="28" t="s">
        <v>10076</v>
      </c>
      <c r="N658" s="27">
        <v>46128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10039</v>
      </c>
      <c r="C659" s="26" t="s">
        <v>10040</v>
      </c>
      <c r="D659" s="26" t="s">
        <v>10041</v>
      </c>
      <c r="E659" s="26" t="s">
        <v>10042</v>
      </c>
      <c r="F659" s="26" t="s">
        <v>116</v>
      </c>
      <c r="G659" s="26" t="s">
        <v>197</v>
      </c>
      <c r="H659" s="26" t="str">
        <f t="shared" si="21"/>
        <v>BARAMULLA</v>
      </c>
      <c r="I659" s="26" t="s">
        <v>10047</v>
      </c>
      <c r="J659" s="27">
        <v>46127</v>
      </c>
      <c r="K659" s="26">
        <v>6005089007</v>
      </c>
      <c r="L659" s="26" t="s">
        <v>59</v>
      </c>
      <c r="M659" s="28" t="s">
        <v>8581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10043</v>
      </c>
      <c r="C660" s="26" t="s">
        <v>10045</v>
      </c>
      <c r="D660" s="26" t="s">
        <v>10046</v>
      </c>
      <c r="E660" s="26" t="s">
        <v>10044</v>
      </c>
      <c r="F660" s="26" t="s">
        <v>12</v>
      </c>
      <c r="G660" s="26" t="s">
        <v>197</v>
      </c>
      <c r="H660" s="26" t="str">
        <f t="shared" si="21"/>
        <v>PULWAMA</v>
      </c>
      <c r="I660" s="26" t="s">
        <v>10048</v>
      </c>
      <c r="J660" s="27">
        <v>46127</v>
      </c>
      <c r="K660" s="26">
        <v>8660969096</v>
      </c>
      <c r="L660" s="26" t="s">
        <v>10049</v>
      </c>
      <c r="M660" s="28" t="s">
        <v>7606</v>
      </c>
      <c r="N660" s="27">
        <v>46129</v>
      </c>
      <c r="O660" s="26" t="s">
        <v>23</v>
      </c>
      <c r="P660" s="29">
        <v>46127</v>
      </c>
      <c r="Q660" s="26" t="s">
        <v>6454</v>
      </c>
      <c r="R660" s="26"/>
    </row>
    <row r="661" spans="1:18" x14ac:dyDescent="0.25">
      <c r="A661" s="26">
        <f t="shared" si="20"/>
        <v>660</v>
      </c>
      <c r="B661" s="26" t="s">
        <v>10050</v>
      </c>
      <c r="C661" s="26" t="s">
        <v>10051</v>
      </c>
      <c r="D661" s="26" t="s">
        <v>10052</v>
      </c>
      <c r="E661" s="26" t="s">
        <v>10053</v>
      </c>
      <c r="F661" s="26" t="s">
        <v>116</v>
      </c>
      <c r="G661" s="26" t="s">
        <v>197</v>
      </c>
      <c r="H661" s="26" t="str">
        <f t="shared" si="21"/>
        <v>SRINAGAR</v>
      </c>
      <c r="I661" s="26" t="s">
        <v>10054</v>
      </c>
      <c r="J661" s="27">
        <v>46127</v>
      </c>
      <c r="K661" s="26">
        <v>9906899687</v>
      </c>
      <c r="L661" s="26" t="s">
        <v>59</v>
      </c>
      <c r="M661" s="28" t="s">
        <v>10071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10059</v>
      </c>
      <c r="C662" s="26" t="s">
        <v>10060</v>
      </c>
      <c r="D662" s="26" t="s">
        <v>10061</v>
      </c>
      <c r="E662" s="26" t="s">
        <v>10062</v>
      </c>
      <c r="F662" s="26" t="s">
        <v>98</v>
      </c>
      <c r="G662" s="26" t="s">
        <v>223</v>
      </c>
      <c r="H662" s="26" t="str">
        <f t="shared" si="21"/>
        <v>PULWAMA</v>
      </c>
      <c r="I662" s="26" t="s">
        <v>10064</v>
      </c>
      <c r="J662" s="27">
        <v>46128</v>
      </c>
      <c r="K662" s="26">
        <v>9906077990</v>
      </c>
      <c r="L662" s="26" t="s">
        <v>10063</v>
      </c>
      <c r="M662" s="28"/>
      <c r="N662" s="27"/>
      <c r="O662" s="26"/>
      <c r="P662" s="29"/>
      <c r="Q662" s="26"/>
      <c r="R662" s="26"/>
    </row>
    <row r="663" spans="1:18" x14ac:dyDescent="0.25">
      <c r="A663" s="26">
        <f t="shared" si="20"/>
        <v>662</v>
      </c>
      <c r="B663" s="26" t="s">
        <v>10068</v>
      </c>
      <c r="C663" s="26" t="s">
        <v>10065</v>
      </c>
      <c r="D663" s="26" t="s">
        <v>10066</v>
      </c>
      <c r="E663" s="26" t="s">
        <v>10067</v>
      </c>
      <c r="F663" s="26" t="s">
        <v>36</v>
      </c>
      <c r="G663" s="26" t="s">
        <v>196</v>
      </c>
      <c r="H663" s="26" t="str">
        <f t="shared" si="21"/>
        <v>SRINAGAR</v>
      </c>
      <c r="I663" s="26" t="s">
        <v>10069</v>
      </c>
      <c r="J663" s="27">
        <v>46128</v>
      </c>
      <c r="K663" s="26">
        <v>6006239070</v>
      </c>
      <c r="L663" s="26" t="s">
        <v>6823</v>
      </c>
      <c r="M663" s="28" t="s">
        <v>9116</v>
      </c>
      <c r="N663" s="27">
        <v>46128</v>
      </c>
      <c r="O663" s="26" t="s">
        <v>23</v>
      </c>
      <c r="P663" s="29">
        <v>46128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10077</v>
      </c>
      <c r="C664" s="26" t="s">
        <v>10082</v>
      </c>
      <c r="D664" s="26" t="s">
        <v>10083</v>
      </c>
      <c r="E664" s="26" t="s">
        <v>10084</v>
      </c>
      <c r="F664" s="26" t="s">
        <v>5</v>
      </c>
      <c r="G664" s="26" t="s">
        <v>196</v>
      </c>
      <c r="H664" s="26" t="str">
        <f t="shared" si="21"/>
        <v>BUDGAM</v>
      </c>
      <c r="I664" s="26" t="s">
        <v>10085</v>
      </c>
      <c r="J664" s="27">
        <v>46129</v>
      </c>
      <c r="K664" s="26">
        <v>9149775608</v>
      </c>
      <c r="L664" s="26" t="s">
        <v>173</v>
      </c>
      <c r="M664" s="28"/>
      <c r="N664" s="27"/>
      <c r="O664" s="26"/>
      <c r="P664" s="29"/>
      <c r="Q664" s="26"/>
      <c r="R664" s="26"/>
    </row>
    <row r="665" spans="1:18" x14ac:dyDescent="0.25">
      <c r="A665" s="26">
        <f t="shared" si="20"/>
        <v>664</v>
      </c>
      <c r="B665" s="26" t="s">
        <v>10078</v>
      </c>
      <c r="C665" s="26" t="s">
        <v>10079</v>
      </c>
      <c r="D665" s="26" t="s">
        <v>10080</v>
      </c>
      <c r="E665" s="26" t="s">
        <v>10081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10086</v>
      </c>
      <c r="J665" s="27">
        <v>46129</v>
      </c>
      <c r="K665" s="26">
        <v>9622584881</v>
      </c>
      <c r="L665" s="26" t="s">
        <v>2168</v>
      </c>
      <c r="M665" s="28"/>
      <c r="N665" s="27"/>
      <c r="O665" s="26" t="s">
        <v>23</v>
      </c>
      <c r="P665" s="29">
        <v>46129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10087</v>
      </c>
      <c r="C666" s="26" t="s">
        <v>10088</v>
      </c>
      <c r="D666" s="26" t="s">
        <v>10089</v>
      </c>
      <c r="E666" s="26" t="s">
        <v>10090</v>
      </c>
      <c r="F666" s="26" t="s">
        <v>98</v>
      </c>
      <c r="G666" s="26" t="s">
        <v>197</v>
      </c>
      <c r="H666" s="26" t="str">
        <f t="shared" si="21"/>
        <v>KUPWARA</v>
      </c>
      <c r="I666" s="26" t="s">
        <v>10101</v>
      </c>
      <c r="J666" s="27">
        <v>46129</v>
      </c>
      <c r="K666" s="26">
        <v>9596342716</v>
      </c>
      <c r="L666" s="26" t="s">
        <v>547</v>
      </c>
      <c r="M666" s="28"/>
      <c r="N666" s="27"/>
      <c r="O666" s="26"/>
      <c r="P666" s="29"/>
      <c r="Q666" s="26"/>
      <c r="R666" s="26"/>
    </row>
    <row r="667" spans="1:18" x14ac:dyDescent="0.25">
      <c r="A667" s="26">
        <f t="shared" si="20"/>
        <v>666</v>
      </c>
      <c r="B667" s="26" t="s">
        <v>10092</v>
      </c>
      <c r="C667" s="26" t="s">
        <v>10093</v>
      </c>
      <c r="D667" s="26" t="s">
        <v>10094</v>
      </c>
      <c r="E667" s="26" t="s">
        <v>1955</v>
      </c>
      <c r="F667" s="26" t="s">
        <v>116</v>
      </c>
      <c r="G667" s="26" t="s">
        <v>218</v>
      </c>
      <c r="H667" s="26" t="str">
        <f t="shared" si="21"/>
        <v>SRINAGAR</v>
      </c>
      <c r="I667" s="26" t="s">
        <v>10095</v>
      </c>
      <c r="J667" s="27">
        <v>46129</v>
      </c>
      <c r="K667" s="26">
        <v>9622751468</v>
      </c>
      <c r="L667" s="26" t="s">
        <v>9703</v>
      </c>
      <c r="M667" s="28"/>
      <c r="N667" s="27"/>
      <c r="O667" s="26"/>
      <c r="P667" s="29"/>
      <c r="Q667" s="26"/>
      <c r="R667" s="26"/>
    </row>
    <row r="668" spans="1:18" x14ac:dyDescent="0.25">
      <c r="A668" s="26">
        <f t="shared" si="20"/>
        <v>667</v>
      </c>
      <c r="B668" s="26" t="s">
        <v>10096</v>
      </c>
      <c r="C668" s="26" t="s">
        <v>10097</v>
      </c>
      <c r="D668" s="26" t="s">
        <v>10098</v>
      </c>
      <c r="E668" s="26" t="s">
        <v>10099</v>
      </c>
      <c r="F668" s="26" t="s">
        <v>277</v>
      </c>
      <c r="G668" s="26" t="s">
        <v>196</v>
      </c>
      <c r="H668" s="26" t="str">
        <f t="shared" si="21"/>
        <v>SRINAGAR</v>
      </c>
      <c r="I668" s="26" t="s">
        <v>10102</v>
      </c>
      <c r="J668" s="27">
        <v>46129</v>
      </c>
      <c r="K668" s="26">
        <v>9796113131</v>
      </c>
      <c r="L668" s="26" t="s">
        <v>2143</v>
      </c>
      <c r="M668" s="28"/>
      <c r="N668" s="27"/>
      <c r="O668" s="26"/>
      <c r="P668" s="29"/>
      <c r="Q668" s="26"/>
      <c r="R668" s="26"/>
    </row>
    <row r="669" spans="1:18" x14ac:dyDescent="0.25">
      <c r="A669" s="26">
        <f t="shared" si="20"/>
        <v>668</v>
      </c>
      <c r="B669" s="48"/>
      <c r="C669" s="48"/>
      <c r="D669" s="48"/>
      <c r="E669" s="48"/>
      <c r="F669" s="48"/>
      <c r="G669" s="48"/>
      <c r="H669" s="49" t="str">
        <f t="shared" ref="H669:H672" si="22">IF(LEFT(I669,4)="JK13","PULWAMA",IF(LEFT(I669,4)="JK01","SRINAGAR",IF(LEFT(I669,4)="JK04","BUDGAM",IF(LEFT(I669,4)="JK03","ANANTNAG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</f>
        <v>NEW</v>
      </c>
      <c r="I669" s="48"/>
      <c r="J669" s="50"/>
      <c r="K669" s="51"/>
      <c r="L669" s="48"/>
      <c r="M669" s="52"/>
      <c r="N669" s="50"/>
      <c r="O669" s="48"/>
      <c r="P669" s="53"/>
      <c r="Q669" s="48"/>
      <c r="R669" s="48"/>
    </row>
    <row r="670" spans="1:18" x14ac:dyDescent="0.25">
      <c r="A670" s="26">
        <f t="shared" si="20"/>
        <v>669</v>
      </c>
      <c r="B670" s="48"/>
      <c r="C670" s="48"/>
      <c r="D670" s="48"/>
      <c r="E670" s="48"/>
      <c r="F670" s="48"/>
      <c r="G670" s="48"/>
      <c r="H670" s="49" t="str">
        <f t="shared" si="22"/>
        <v>NEW</v>
      </c>
      <c r="I670" s="48"/>
      <c r="J670" s="50"/>
      <c r="K670" s="51"/>
      <c r="L670" s="48"/>
      <c r="M670" s="52"/>
      <c r="N670" s="50"/>
      <c r="O670" s="48"/>
      <c r="P670" s="53"/>
      <c r="Q670" s="48"/>
      <c r="R670" s="48"/>
    </row>
    <row r="671" spans="1:18" x14ac:dyDescent="0.25">
      <c r="A671" s="26">
        <f t="shared" si="20"/>
        <v>670</v>
      </c>
      <c r="B671" s="48"/>
      <c r="C671" s="48"/>
      <c r="D671" s="48"/>
      <c r="E671" s="48"/>
      <c r="F671" s="48"/>
      <c r="G671" s="48"/>
      <c r="H671" s="49" t="str">
        <f t="shared" si="22"/>
        <v>NEW</v>
      </c>
      <c r="I671" s="48"/>
      <c r="J671" s="50"/>
      <c r="K671" s="51"/>
      <c r="L671" s="48"/>
      <c r="M671" s="52"/>
      <c r="N671" s="50"/>
      <c r="O671" s="48"/>
      <c r="P671" s="53"/>
      <c r="Q671" s="48"/>
      <c r="R671" s="48"/>
    </row>
    <row r="672" spans="1:18" x14ac:dyDescent="0.25">
      <c r="A672" s="26">
        <f t="shared" si="20"/>
        <v>671</v>
      </c>
      <c r="B672" s="48"/>
      <c r="C672" s="48"/>
      <c r="D672" s="48"/>
      <c r="E672" s="48"/>
      <c r="F672" s="48"/>
      <c r="G672" s="48"/>
      <c r="H672" s="49" t="str">
        <f t="shared" si="22"/>
        <v>NEW</v>
      </c>
      <c r="I672" s="48"/>
      <c r="J672" s="50"/>
      <c r="K672" s="51"/>
      <c r="L672" s="48"/>
      <c r="M672" s="52"/>
      <c r="N672" s="50"/>
      <c r="O672" s="48"/>
      <c r="P672" s="53"/>
      <c r="Q672" s="48"/>
      <c r="R672" s="48"/>
    </row>
    <row r="673" spans="1:13" ht="15.75" x14ac:dyDescent="0.25">
      <c r="A673" s="26"/>
      <c r="B673" s="26"/>
      <c r="C673" s="26"/>
      <c r="D673" s="26"/>
      <c r="E673" s="26"/>
      <c r="F673" s="26"/>
      <c r="G673" s="26"/>
      <c r="H673" s="1"/>
      <c r="I673" s="26"/>
      <c r="J673" s="12"/>
      <c r="K673" s="26"/>
      <c r="L673" s="26"/>
      <c r="M673" t="s">
        <v>43</v>
      </c>
    </row>
    <row r="674" spans="1:13" ht="15.75" x14ac:dyDescent="0.25">
      <c r="A674" s="26"/>
      <c r="B674" s="26"/>
      <c r="C674" s="26"/>
      <c r="D674" s="26"/>
      <c r="E674" s="26"/>
      <c r="F674" s="26"/>
      <c r="G674" s="26"/>
      <c r="H674" s="1"/>
      <c r="I674" s="13"/>
      <c r="K674" s="26"/>
    </row>
    <row r="675" spans="1:13" x14ac:dyDescent="0.25">
      <c r="K675" s="26"/>
    </row>
    <row r="676" spans="1:13" x14ac:dyDescent="0.25">
      <c r="K676" s="26"/>
    </row>
    <row r="677" spans="1:13" x14ac:dyDescent="0.25">
      <c r="K677" s="26"/>
    </row>
    <row r="678" spans="1:13" x14ac:dyDescent="0.25">
      <c r="K678" s="26"/>
    </row>
    <row r="679" spans="1:13" x14ac:dyDescent="0.25">
      <c r="K679" s="26"/>
    </row>
    <row r="680" spans="1:13" x14ac:dyDescent="0.25">
      <c r="K680" s="26"/>
    </row>
    <row r="681" spans="1:13" x14ac:dyDescent="0.25">
      <c r="K681" s="26"/>
    </row>
    <row r="682" spans="1:13" x14ac:dyDescent="0.25">
      <c r="K682" s="26"/>
    </row>
    <row r="683" spans="1:13" x14ac:dyDescent="0.25">
      <c r="K683" s="26"/>
    </row>
    <row r="684" spans="1:13" x14ac:dyDescent="0.25">
      <c r="K684" s="26"/>
    </row>
    <row r="685" spans="1:13" x14ac:dyDescent="0.25">
      <c r="K685" s="26"/>
    </row>
    <row r="686" spans="1:13" x14ac:dyDescent="0.25">
      <c r="K686" s="26"/>
    </row>
    <row r="687" spans="1:13" x14ac:dyDescent="0.25">
      <c r="K687" s="26"/>
    </row>
    <row r="688" spans="1:13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ht="15.75" x14ac:dyDescent="0.25">
      <c r="K753" s="12"/>
    </row>
    <row r="754" spans="11:11" ht="15.75" x14ac:dyDescent="0.25">
      <c r="K754" s="12"/>
    </row>
    <row r="755" spans="11:11" ht="15.75" x14ac:dyDescent="0.25">
      <c r="K755" s="12"/>
    </row>
    <row r="756" spans="11:11" ht="15.75" x14ac:dyDescent="0.25">
      <c r="K756" s="12"/>
    </row>
    <row r="757" spans="11:11" ht="15.75" x14ac:dyDescent="0.25">
      <c r="K757" s="12"/>
    </row>
    <row r="758" spans="11:11" ht="15.75" x14ac:dyDescent="0.25">
      <c r="K758" s="12"/>
    </row>
    <row r="759" spans="11:11" ht="15.75" x14ac:dyDescent="0.25">
      <c r="K759" s="12"/>
    </row>
    <row r="760" spans="11:11" ht="15.75" x14ac:dyDescent="0.25">
      <c r="K760" s="12"/>
    </row>
    <row r="761" spans="11:11" ht="15.75" x14ac:dyDescent="0.25">
      <c r="K761" s="12"/>
    </row>
    <row r="762" spans="11:11" ht="15.75" x14ac:dyDescent="0.25">
      <c r="K762" s="12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x14ac:dyDescent="0.25">
      <c r="K802" s="25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</sheetData>
  <conditionalFormatting sqref="A647:F647 K654:K668 K673:K752 B669:R672">
    <cfRule type="expression" dxfId="21" priority="1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I541:J552 C550:G550 B551:G558 I552:I554 J553:J554 H555:J557 A556:G556 B558:H558 J558 B559:J561 B560:G567 C562:J563 A563:B563 G564:J564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H638:K638 J639:K639 H639:I641 J640:J642 H642 H643:J643 K643:L646 G644:J644 J645:J646 G645:H650 J647:K655 E649:G653 B649:D655 J650:L650 B650:G660 H651:H652 F653:H653 E654:H655 G656:J657 G658:K660 B661:J664 I664:I665 J665 I673 L673 A673:G674 G666:J668 L636:R668 B664:H668 A564:A672 L539:R576">
    <cfRule type="expression" dxfId="20" priority="15">
      <formula>CELL("row")=ROW()</formula>
    </cfRule>
  </conditionalFormatting>
  <conditionalFormatting sqref="B257:G290 B291:B300 C291:G301">
    <cfRule type="expression" dxfId="19" priority="13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73:O673 L674:O674">
    <cfRule type="expression" dxfId="12" priority="24">
      <formula>ROW(N93)=HighlightRow</formula>
    </cfRule>
  </conditionalFormatting>
  <conditionalFormatting sqref="P673:Q674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9198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9557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3"/>
  <sheetViews>
    <sheetView topLeftCell="A398" zoomScaleNormal="100" workbookViewId="0">
      <selection activeCell="B407" sqref="B407:E41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9197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9196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9204</v>
      </c>
      <c r="E264" s="26" t="s">
        <v>9203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9205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9245</v>
      </c>
      <c r="E266" s="26" t="s">
        <v>9231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9253</v>
      </c>
      <c r="C267" s="26">
        <v>9419028585</v>
      </c>
      <c r="D267" s="26" t="s">
        <v>9275</v>
      </c>
      <c r="E267" s="26" t="s">
        <v>9276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9240</v>
      </c>
      <c r="C268" s="26">
        <v>9906610809</v>
      </c>
      <c r="D268" s="26" t="s">
        <v>9274</v>
      </c>
      <c r="E268" s="26" t="s">
        <v>9244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9249</v>
      </c>
      <c r="C269" s="26">
        <v>7780951154</v>
      </c>
      <c r="D269" s="26" t="s">
        <v>9287</v>
      </c>
      <c r="E269" s="26" t="s">
        <v>9254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9236</v>
      </c>
      <c r="C270" s="26">
        <v>9596060009</v>
      </c>
      <c r="D270" s="26" t="s">
        <v>9288</v>
      </c>
      <c r="E270" s="26" t="s">
        <v>9243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9262</v>
      </c>
      <c r="C271" s="26">
        <v>7006965635</v>
      </c>
      <c r="D271" s="26" t="s">
        <v>9305</v>
      </c>
      <c r="E271" s="26" t="s">
        <v>9265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9304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9308</v>
      </c>
      <c r="C273" s="26">
        <v>9496007095</v>
      </c>
      <c r="D273" s="26" t="s">
        <v>9309</v>
      </c>
      <c r="E273" s="26" t="s">
        <v>9269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9277</v>
      </c>
      <c r="C274" s="26">
        <v>8082045352</v>
      </c>
      <c r="D274" s="26" t="s">
        <v>9311</v>
      </c>
      <c r="E274" s="26" t="s">
        <v>9282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9303</v>
      </c>
      <c r="C275" s="26">
        <v>7051413490</v>
      </c>
      <c r="D275" s="26" t="s">
        <v>9310</v>
      </c>
      <c r="E275" s="26" t="s">
        <v>9306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9312</v>
      </c>
      <c r="C276" s="26">
        <v>9149462152</v>
      </c>
      <c r="D276" s="26" t="s">
        <v>9313</v>
      </c>
      <c r="E276" s="26" t="s">
        <v>9281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9299</v>
      </c>
      <c r="C277" s="26">
        <v>8825070162</v>
      </c>
      <c r="D277" s="26" t="s">
        <v>9314</v>
      </c>
      <c r="E277" s="26" t="s">
        <v>9307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9343</v>
      </c>
      <c r="C278" s="26">
        <v>8493872787</v>
      </c>
      <c r="D278" s="26" t="s">
        <v>9345</v>
      </c>
      <c r="E278" s="26" t="s">
        <v>9330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9323</v>
      </c>
      <c r="C281" s="26">
        <v>8494064599</v>
      </c>
      <c r="D281" s="26" t="s">
        <v>9344</v>
      </c>
      <c r="E281" s="26" t="s">
        <v>9331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9209</v>
      </c>
      <c r="C282" s="26">
        <v>7006079003</v>
      </c>
      <c r="D282" s="26" t="s">
        <v>9355</v>
      </c>
      <c r="E282" s="26" t="s">
        <v>9210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9390</v>
      </c>
      <c r="C283" s="26">
        <v>8825081560</v>
      </c>
      <c r="D283" s="26" t="s">
        <v>9391</v>
      </c>
      <c r="E283" s="26" t="s">
        <v>9370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9388</v>
      </c>
      <c r="E284" s="26" t="s">
        <v>9369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9354</v>
      </c>
      <c r="C285" s="26">
        <v>7780915118</v>
      </c>
      <c r="D285" s="26" t="s">
        <v>9389</v>
      </c>
      <c r="E285" s="26" t="s">
        <v>9368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9374</v>
      </c>
      <c r="C286" s="26">
        <v>8082225552</v>
      </c>
      <c r="D286" s="26" t="s">
        <v>9392</v>
      </c>
      <c r="E286" s="26" t="s">
        <v>9381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9403</v>
      </c>
      <c r="C287" s="26">
        <v>9797100753</v>
      </c>
      <c r="D287" s="26" t="s">
        <v>9432</v>
      </c>
      <c r="E287" s="26" t="s">
        <v>9408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9386</v>
      </c>
      <c r="C288" s="26">
        <v>6005962327</v>
      </c>
      <c r="D288" s="26" t="s">
        <v>9431</v>
      </c>
      <c r="E288" s="26" t="s">
        <v>9387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9416</v>
      </c>
      <c r="C289" s="26">
        <v>7889906635</v>
      </c>
      <c r="D289" s="26" t="s">
        <v>9445</v>
      </c>
      <c r="E289" s="26" t="s">
        <v>9426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9420</v>
      </c>
      <c r="C290" s="26">
        <v>9419077006</v>
      </c>
      <c r="D290" s="26" t="s">
        <v>9446</v>
      </c>
      <c r="E290" s="26" t="s">
        <v>9427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9435</v>
      </c>
      <c r="C291" s="26">
        <v>9906588214</v>
      </c>
      <c r="D291" s="26" t="s">
        <v>9444</v>
      </c>
      <c r="E291" s="26" t="s">
        <v>9436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9481</v>
      </c>
      <c r="C292" s="26">
        <v>9541258789</v>
      </c>
      <c r="D292" s="26" t="s">
        <v>9482</v>
      </c>
      <c r="E292" s="26" t="s">
        <v>9462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9404</v>
      </c>
      <c r="C293" s="26">
        <v>9596324743</v>
      </c>
      <c r="D293" s="26" t="s">
        <v>9443</v>
      </c>
      <c r="E293" s="26" t="s">
        <v>9430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9460</v>
      </c>
      <c r="C294" s="26">
        <v>9596989605</v>
      </c>
      <c r="D294" s="26" t="s">
        <v>9480</v>
      </c>
      <c r="E294" s="26" t="s">
        <v>9461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9473</v>
      </c>
      <c r="C295" s="26">
        <v>7889969090</v>
      </c>
      <c r="D295" s="26" t="s">
        <v>9493</v>
      </c>
      <c r="E295" s="26" t="s">
        <v>9474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9513</v>
      </c>
      <c r="C296" s="26">
        <v>8899062478</v>
      </c>
      <c r="D296" s="26" t="s">
        <v>9547</v>
      </c>
      <c r="E296" s="26" t="s">
        <v>9515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9523</v>
      </c>
      <c r="C297" s="26">
        <v>9797500373</v>
      </c>
      <c r="D297" s="26" t="s">
        <v>9548</v>
      </c>
      <c r="E297" s="26" t="s">
        <v>9524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9485</v>
      </c>
      <c r="C298" s="26">
        <v>7889683165</v>
      </c>
      <c r="D298" s="26" t="s">
        <v>9546</v>
      </c>
      <c r="E298" s="26" t="s">
        <v>9486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9519</v>
      </c>
      <c r="C299" s="26">
        <v>9797038059</v>
      </c>
      <c r="D299" s="26" t="s">
        <v>9526</v>
      </c>
      <c r="E299" s="26" t="s">
        <v>9520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9497</v>
      </c>
      <c r="C300" s="26">
        <v>7006174573</v>
      </c>
      <c r="D300" s="26" t="s">
        <v>9556</v>
      </c>
      <c r="E300" s="26" t="s">
        <v>9498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9554</v>
      </c>
      <c r="C301" s="26">
        <v>6005137104</v>
      </c>
      <c r="D301" s="26" t="s">
        <v>9561</v>
      </c>
      <c r="E301" s="26" t="s">
        <v>9555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9559</v>
      </c>
      <c r="C302" s="26">
        <v>9419549461</v>
      </c>
      <c r="D302" s="26" t="s">
        <v>9560</v>
      </c>
      <c r="E302" s="26" t="s">
        <v>9542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9558</v>
      </c>
      <c r="E303" s="26" t="s">
        <v>9543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9576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9508</v>
      </c>
      <c r="C305" s="26">
        <v>6005105292</v>
      </c>
      <c r="D305" s="26" t="s">
        <v>9607</v>
      </c>
      <c r="E305" s="26" t="s">
        <v>9509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9605</v>
      </c>
      <c r="C306" s="26">
        <v>7006689016</v>
      </c>
      <c r="D306" s="26" t="s">
        <v>9612</v>
      </c>
      <c r="E306" s="26" t="s">
        <v>9606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9611</v>
      </c>
      <c r="E307" s="26" t="s">
        <v>9591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9599</v>
      </c>
      <c r="C308" s="26">
        <v>7298553784</v>
      </c>
      <c r="D308" s="26" t="s">
        <v>9610</v>
      </c>
      <c r="E308" s="26" t="s">
        <v>9600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9595</v>
      </c>
      <c r="C309" s="26">
        <v>7780863092</v>
      </c>
      <c r="D309" s="26" t="s">
        <v>9609</v>
      </c>
      <c r="E309" s="26" t="s">
        <v>9601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9614</v>
      </c>
      <c r="C310" s="26">
        <v>6006423102</v>
      </c>
      <c r="D310" s="26" t="s">
        <v>9615</v>
      </c>
      <c r="E310" s="26" t="s">
        <v>9590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9569</v>
      </c>
      <c r="C311" s="26">
        <v>9419433461</v>
      </c>
      <c r="D311" s="26" t="s">
        <v>9636</v>
      </c>
      <c r="E311" s="26" t="s">
        <v>9570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9645</v>
      </c>
      <c r="C312" s="26">
        <v>6006169156</v>
      </c>
      <c r="D312" s="26" t="s">
        <v>9663</v>
      </c>
      <c r="E312" s="26" t="s">
        <v>9650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9659</v>
      </c>
      <c r="C313" s="26">
        <v>7006773197</v>
      </c>
      <c r="D313" s="26" t="s">
        <v>9668</v>
      </c>
      <c r="E313" s="26" t="s">
        <v>9662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9632</v>
      </c>
      <c r="C314" s="26">
        <v>6006078392</v>
      </c>
      <c r="D314" s="26" t="s">
        <v>9669</v>
      </c>
      <c r="E314" s="26" t="s">
        <v>9634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9708</v>
      </c>
      <c r="C315" s="26">
        <v>9697025748</v>
      </c>
      <c r="D315" s="26" t="s">
        <v>9709</v>
      </c>
      <c r="E315" s="26" t="s">
        <v>9679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9623</v>
      </c>
      <c r="C316" s="26">
        <v>9149790539</v>
      </c>
      <c r="D316" s="26" t="s">
        <v>9664</v>
      </c>
      <c r="E316" s="26" t="s">
        <v>9624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9488</v>
      </c>
      <c r="C317" s="26">
        <v>7780922014</v>
      </c>
      <c r="D317" s="26" t="s">
        <v>9666</v>
      </c>
      <c r="E317" s="26" t="s">
        <v>9490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9665</v>
      </c>
      <c r="E318" s="26" t="s">
        <v>9442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9696</v>
      </c>
      <c r="C319" s="26">
        <v>9419571210</v>
      </c>
      <c r="D319" s="26" t="s">
        <v>9747</v>
      </c>
      <c r="E319" s="26" t="s">
        <v>9726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9723</v>
      </c>
      <c r="C320" s="26">
        <v>7006759393</v>
      </c>
      <c r="D320" s="26" t="s">
        <v>9748</v>
      </c>
      <c r="E320" s="26" t="s">
        <v>9724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9743</v>
      </c>
      <c r="C321" s="26">
        <v>7006313164</v>
      </c>
      <c r="D321" s="26" t="s">
        <v>9757</v>
      </c>
      <c r="E321" s="26" t="s">
        <v>9745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9701</v>
      </c>
      <c r="C322" s="26">
        <v>7006317414</v>
      </c>
      <c r="D322" s="26" t="s">
        <v>9756</v>
      </c>
      <c r="E322" s="26" t="s">
        <v>9727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9711</v>
      </c>
      <c r="C323" s="26">
        <v>9797429247</v>
      </c>
      <c r="D323" s="26" t="s">
        <v>9755</v>
      </c>
      <c r="E323" s="26" t="s">
        <v>9729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9738</v>
      </c>
      <c r="C324" s="26">
        <v>7006675147</v>
      </c>
      <c r="D324" s="26" t="s">
        <v>9758</v>
      </c>
      <c r="E324" s="26" t="s">
        <v>9744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9707</v>
      </c>
      <c r="C325" s="26">
        <v>7006446177</v>
      </c>
      <c r="D325" s="26" t="s">
        <v>9759</v>
      </c>
      <c r="E325" s="26" t="s">
        <v>9725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9761</v>
      </c>
      <c r="C326" s="26">
        <v>7006248705</v>
      </c>
      <c r="D326" s="26" t="s">
        <v>9762</v>
      </c>
      <c r="E326" s="26" t="s">
        <v>9760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9774</v>
      </c>
      <c r="C327" s="26">
        <v>9906605500</v>
      </c>
      <c r="D327" s="26" t="s">
        <v>9797</v>
      </c>
      <c r="E327" s="26" t="s">
        <v>9775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9811</v>
      </c>
      <c r="C328" s="26"/>
      <c r="D328" s="26" t="s">
        <v>9798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9785</v>
      </c>
      <c r="C329" s="26">
        <v>9622886443</v>
      </c>
      <c r="D329" s="26" t="s">
        <v>9808</v>
      </c>
      <c r="E329" s="26" t="s">
        <v>9786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9809</v>
      </c>
      <c r="E330" s="26" t="s">
        <v>9796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9807</v>
      </c>
      <c r="C331" s="26">
        <v>7889391399</v>
      </c>
      <c r="D331" s="26" t="s">
        <v>9812</v>
      </c>
      <c r="E331" s="26" t="s">
        <v>9810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9362</v>
      </c>
      <c r="C372" s="26">
        <v>8899602360</v>
      </c>
      <c r="D372" s="26" t="s">
        <v>9395</v>
      </c>
      <c r="E372" s="26" t="s">
        <v>9379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9393</v>
      </c>
      <c r="C373" s="26">
        <v>9622841017</v>
      </c>
      <c r="D373" s="26" t="s">
        <v>9394</v>
      </c>
      <c r="E373" s="26" t="s">
        <v>9380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9640</v>
      </c>
      <c r="C374" s="26">
        <v>9906363571</v>
      </c>
      <c r="D374" s="26" t="s">
        <v>9667</v>
      </c>
      <c r="E374" s="26" t="s">
        <v>9641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9814</v>
      </c>
      <c r="C375" s="26">
        <v>9682339805</v>
      </c>
      <c r="D375" s="26" t="s">
        <v>9818</v>
      </c>
      <c r="E375" s="26" t="s">
        <v>9817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9820</v>
      </c>
      <c r="C376" s="26">
        <v>7889626233</v>
      </c>
      <c r="D376" s="26" t="s">
        <v>9832</v>
      </c>
      <c r="E376" s="26" t="s">
        <v>9825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9769</v>
      </c>
      <c r="C377" s="26">
        <v>9149899595</v>
      </c>
      <c r="D377" s="26" t="s">
        <v>9833</v>
      </c>
      <c r="E377" s="26" t="s">
        <v>9826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9838</v>
      </c>
      <c r="C378" s="26">
        <v>7780848903</v>
      </c>
      <c r="D378" s="26" t="s">
        <v>9854</v>
      </c>
      <c r="E378" s="26" t="s">
        <v>9846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9865</v>
      </c>
      <c r="E379" s="26" t="s">
        <v>9862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9829</v>
      </c>
      <c r="C380" s="26">
        <v>9697398972</v>
      </c>
      <c r="D380" s="26" t="s">
        <v>9866</v>
      </c>
      <c r="E380" s="26" t="s">
        <v>9831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9850</v>
      </c>
      <c r="C381" s="26">
        <v>9622429731</v>
      </c>
      <c r="D381" s="26" t="s">
        <v>9867</v>
      </c>
      <c r="E381" s="26" t="s">
        <v>9853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9868</v>
      </c>
      <c r="E382" s="26" t="s">
        <v>9845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9844</v>
      </c>
      <c r="C383" s="26">
        <v>9541046722</v>
      </c>
      <c r="D383" s="26" t="s">
        <v>9869</v>
      </c>
      <c r="E383" s="26" t="s">
        <v>9847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9857</v>
      </c>
      <c r="C384" s="26">
        <v>7006487784</v>
      </c>
      <c r="D384" s="26" t="s">
        <v>9870</v>
      </c>
      <c r="E384" s="26" t="s">
        <v>9858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9889</v>
      </c>
      <c r="E385" s="26" t="s">
        <v>9633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9893</v>
      </c>
      <c r="E386" s="26" t="s">
        <v>9883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9921</v>
      </c>
      <c r="C387" s="26">
        <v>9103105509</v>
      </c>
      <c r="D387" s="26" t="s">
        <v>9932</v>
      </c>
      <c r="E387" s="26" t="s">
        <v>9922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9911</v>
      </c>
      <c r="C388" s="26">
        <v>9149702486</v>
      </c>
      <c r="D388" s="26" t="s">
        <v>9933</v>
      </c>
      <c r="E388" s="26" t="s">
        <v>9913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9934</v>
      </c>
      <c r="E389" s="26" t="s">
        <v>9906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9942</v>
      </c>
      <c r="C390" s="26">
        <v>7051986605</v>
      </c>
      <c r="D390" s="26" t="s">
        <v>9961</v>
      </c>
      <c r="E390" s="26" t="s">
        <v>9950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2" si="6">ROW()-2</f>
        <v>389</v>
      </c>
      <c r="B391" s="26" t="s">
        <v>9765</v>
      </c>
      <c r="C391" s="26">
        <v>9596989763</v>
      </c>
      <c r="D391" s="26" t="s">
        <v>9962</v>
      </c>
      <c r="E391" s="26" t="s">
        <v>9780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9901</v>
      </c>
      <c r="C392" s="26">
        <v>7006088212</v>
      </c>
      <c r="D392" s="26" t="s">
        <v>9963</v>
      </c>
      <c r="E392" s="26" t="s">
        <v>9905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9954</v>
      </c>
      <c r="C393" s="26">
        <v>7889614481</v>
      </c>
      <c r="D393" s="26" t="s">
        <v>9964</v>
      </c>
      <c r="E393" s="26" t="s">
        <v>9959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9938</v>
      </c>
      <c r="C394" s="26">
        <v>9906923440</v>
      </c>
      <c r="D394" s="26" t="s">
        <v>9965</v>
      </c>
      <c r="E394" s="26" t="s">
        <v>9940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10004</v>
      </c>
      <c r="C395" s="26">
        <v>9906614866</v>
      </c>
      <c r="D395" s="26" t="s">
        <v>10005</v>
      </c>
      <c r="E395" s="26" t="s">
        <v>10002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9984</v>
      </c>
      <c r="C396" s="26">
        <v>7006558308</v>
      </c>
      <c r="D396" s="26" t="s">
        <v>10006</v>
      </c>
      <c r="E396" s="26" t="s">
        <v>9985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9978</v>
      </c>
      <c r="C397" s="26">
        <v>9697037304</v>
      </c>
      <c r="D397" s="26" t="s">
        <v>10007</v>
      </c>
      <c r="E397" s="26" t="s">
        <v>9979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9999</v>
      </c>
      <c r="C398" s="26">
        <v>7006405513</v>
      </c>
      <c r="D398" s="26" t="s">
        <v>10008</v>
      </c>
      <c r="E398" s="26" t="s">
        <v>10001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10009</v>
      </c>
      <c r="E399" s="26" t="s">
        <v>9980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9990</v>
      </c>
      <c r="C400" s="26">
        <v>8491830269</v>
      </c>
      <c r="D400" s="26" t="s">
        <v>10025</v>
      </c>
      <c r="E400" s="26" t="s">
        <v>10003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9948</v>
      </c>
      <c r="C401" s="26">
        <v>7006765311</v>
      </c>
      <c r="D401" s="26" t="s">
        <v>10026</v>
      </c>
      <c r="E401" s="26" t="s">
        <v>9949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10044</v>
      </c>
      <c r="C402" s="26">
        <v>8660969096</v>
      </c>
      <c r="D402" s="26" t="s">
        <v>10055</v>
      </c>
      <c r="E402" s="26" t="s">
        <v>10048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10035</v>
      </c>
      <c r="C403" s="26">
        <v>9541554947</v>
      </c>
      <c r="D403" s="26" t="s">
        <v>10056</v>
      </c>
      <c r="E403" s="26" t="s">
        <v>10038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10030</v>
      </c>
      <c r="C404" s="26">
        <v>6005336023</v>
      </c>
      <c r="D404" s="26" t="s">
        <v>10057</v>
      </c>
      <c r="E404" s="26" t="s">
        <v>10037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10012</v>
      </c>
      <c r="C405" s="26">
        <v>6005377352</v>
      </c>
      <c r="D405" s="26" t="s">
        <v>10058</v>
      </c>
      <c r="E405" s="26" t="s">
        <v>10019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10053</v>
      </c>
      <c r="C406" s="26">
        <v>9906899687</v>
      </c>
      <c r="D406" s="26" t="s">
        <v>10070</v>
      </c>
      <c r="E406" s="26" t="s">
        <v>10054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10042</v>
      </c>
      <c r="C407" s="26">
        <v>6005089007</v>
      </c>
      <c r="D407" s="26" t="s">
        <v>10072</v>
      </c>
      <c r="E407" s="26" t="s">
        <v>10047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10067</v>
      </c>
      <c r="C408" s="26">
        <v>6006239070</v>
      </c>
      <c r="D408" s="26" t="s">
        <v>10073</v>
      </c>
      <c r="E408" s="26" t="s">
        <v>10069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10081</v>
      </c>
      <c r="C409" s="26">
        <v>9622584881</v>
      </c>
      <c r="D409" s="26" t="s">
        <v>10100</v>
      </c>
      <c r="E409" s="26" t="s">
        <v>10086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/>
      <c r="C410" s="26"/>
      <c r="D410" s="26"/>
      <c r="E410" s="26"/>
      <c r="F410" s="14"/>
      <c r="G410" s="14"/>
      <c r="H410" s="12"/>
    </row>
    <row r="411" spans="1:8" ht="15.75" x14ac:dyDescent="0.25">
      <c r="A411" s="12">
        <f t="shared" si="6"/>
        <v>409</v>
      </c>
      <c r="B411" s="12"/>
      <c r="C411" s="12"/>
      <c r="D411" s="12"/>
      <c r="E411" s="12"/>
      <c r="F411" s="14"/>
      <c r="G411" s="14"/>
      <c r="H411" s="12"/>
    </row>
    <row r="412" spans="1:8" ht="15.75" x14ac:dyDescent="0.25">
      <c r="A412" s="12">
        <f t="shared" si="6"/>
        <v>410</v>
      </c>
      <c r="B412" s="12"/>
      <c r="C412" s="12"/>
      <c r="D412" s="12"/>
      <c r="E412" s="12"/>
      <c r="F412" s="14"/>
      <c r="G412" s="14"/>
      <c r="H412" s="12"/>
    </row>
    <row r="413" spans="1:8" ht="15.75" x14ac:dyDescent="0.25">
      <c r="A413" s="12">
        <f t="shared" si="6"/>
        <v>411</v>
      </c>
      <c r="B413" s="12"/>
      <c r="C413" s="12"/>
      <c r="D413" s="12"/>
      <c r="E413" s="12"/>
      <c r="F413" s="14"/>
      <c r="G413" s="14"/>
      <c r="H413" s="12"/>
    </row>
    <row r="414" spans="1:8" ht="15.75" x14ac:dyDescent="0.25">
      <c r="A414" s="12">
        <f t="shared" si="6"/>
        <v>412</v>
      </c>
      <c r="B414" s="12"/>
      <c r="C414" s="12"/>
      <c r="D414" s="12"/>
      <c r="E414" s="12"/>
      <c r="F414" s="14"/>
      <c r="G414" s="14"/>
      <c r="H414" s="12"/>
    </row>
    <row r="415" spans="1:8" ht="15.75" x14ac:dyDescent="0.25">
      <c r="A415" s="12">
        <f t="shared" si="6"/>
        <v>413</v>
      </c>
      <c r="B415" s="12"/>
      <c r="C415" s="12"/>
      <c r="D415" s="12"/>
      <c r="E415" s="12"/>
      <c r="F415" s="14"/>
      <c r="G415" s="14"/>
      <c r="H415" s="12"/>
    </row>
    <row r="416" spans="1:8" ht="15.75" x14ac:dyDescent="0.25">
      <c r="A416" s="12">
        <f t="shared" si="6"/>
        <v>414</v>
      </c>
      <c r="B416" s="12"/>
      <c r="C416" s="12"/>
      <c r="D416" s="12"/>
      <c r="E416" s="12"/>
      <c r="F416" s="14"/>
      <c r="G416" s="14"/>
      <c r="H416" s="12"/>
    </row>
    <row r="417" spans="1:8" ht="15.75" x14ac:dyDescent="0.25">
      <c r="A417" s="12">
        <f t="shared" si="6"/>
        <v>415</v>
      </c>
      <c r="B417" s="12"/>
      <c r="C417" s="12"/>
      <c r="D417" s="12"/>
      <c r="E417" s="12"/>
      <c r="F417" s="14"/>
      <c r="G417" s="14"/>
      <c r="H417" s="12"/>
    </row>
    <row r="418" spans="1:8" ht="15.75" x14ac:dyDescent="0.25">
      <c r="A418" s="12">
        <f t="shared" si="6"/>
        <v>416</v>
      </c>
      <c r="B418" s="12"/>
      <c r="C418" s="12"/>
      <c r="D418" s="12"/>
      <c r="E418" s="12"/>
      <c r="F418" s="14"/>
      <c r="G418" s="14"/>
      <c r="H418" s="12"/>
    </row>
    <row r="419" spans="1:8" ht="15.75" x14ac:dyDescent="0.25">
      <c r="A419" s="12">
        <f t="shared" si="6"/>
        <v>417</v>
      </c>
      <c r="B419" s="12"/>
      <c r="C419" s="12"/>
      <c r="D419" s="12"/>
      <c r="E419" s="12"/>
      <c r="F419" s="14"/>
      <c r="G419" s="14"/>
      <c r="H419" s="12"/>
    </row>
    <row r="420" spans="1:8" ht="15.75" x14ac:dyDescent="0.25">
      <c r="A420" s="12">
        <f t="shared" si="6"/>
        <v>418</v>
      </c>
      <c r="B420" s="12"/>
      <c r="C420" s="12"/>
      <c r="D420" s="12"/>
      <c r="E420" s="12"/>
      <c r="F420" s="14"/>
      <c r="G420" s="14"/>
      <c r="H420" s="12"/>
    </row>
    <row r="421" spans="1:8" ht="15.75" x14ac:dyDescent="0.25">
      <c r="A421" s="12">
        <f t="shared" si="6"/>
        <v>419</v>
      </c>
      <c r="B421" s="12"/>
      <c r="C421" s="12"/>
      <c r="D421" s="12"/>
      <c r="E421" s="12"/>
      <c r="F421" s="14"/>
      <c r="G421" s="14"/>
      <c r="H421" s="12"/>
    </row>
    <row r="422" spans="1:8" ht="15.75" x14ac:dyDescent="0.25">
      <c r="A422" s="12">
        <f t="shared" si="6"/>
        <v>420</v>
      </c>
      <c r="B422" s="12"/>
      <c r="C422" s="12"/>
      <c r="D422" s="12"/>
      <c r="E422" s="12"/>
      <c r="F422" s="14"/>
      <c r="G422" s="14"/>
      <c r="H422" s="12"/>
    </row>
    <row r="423" spans="1:8" x14ac:dyDescent="0.25">
      <c r="B423" s="26"/>
      <c r="C423" s="26"/>
      <c r="D423" s="26"/>
    </row>
  </sheetData>
  <mergeCells count="1">
    <mergeCell ref="A1:H1"/>
  </mergeCells>
  <phoneticPr fontId="27" type="noConversion"/>
  <conditionalFormatting sqref="B252:C252 B423:D423 B311:E422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9463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9464</v>
      </c>
      <c r="C2" s="41" t="s">
        <v>9465</v>
      </c>
      <c r="D2" s="41" t="s">
        <v>6651</v>
      </c>
      <c r="E2" s="41" t="s">
        <v>9466</v>
      </c>
      <c r="F2" s="41" t="s">
        <v>9467</v>
      </c>
      <c r="G2" s="41" t="s">
        <v>9468</v>
      </c>
      <c r="H2" s="41" t="s">
        <v>9930</v>
      </c>
      <c r="I2" s="41" t="s">
        <v>9577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9580</v>
      </c>
      <c r="D3" s="26" t="s">
        <v>8927</v>
      </c>
      <c r="E3" s="26" t="s">
        <v>9582</v>
      </c>
      <c r="F3" s="26">
        <v>321959853</v>
      </c>
      <c r="G3" s="30">
        <v>46041</v>
      </c>
      <c r="H3" s="26">
        <v>280</v>
      </c>
      <c r="I3" s="26" t="s">
        <v>9579</v>
      </c>
    </row>
    <row r="4" spans="1:9" x14ac:dyDescent="0.25">
      <c r="A4" s="26">
        <f t="shared" si="0"/>
        <v>2</v>
      </c>
      <c r="B4" s="30">
        <v>46046</v>
      </c>
      <c r="C4" s="26" t="s">
        <v>9581</v>
      </c>
      <c r="D4" s="26"/>
      <c r="E4" s="26" t="s">
        <v>9582</v>
      </c>
      <c r="F4" s="26">
        <v>388358936</v>
      </c>
      <c r="G4" s="30">
        <v>46046</v>
      </c>
      <c r="H4" s="26">
        <v>280</v>
      </c>
      <c r="I4" s="26" t="s">
        <v>9579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9469</v>
      </c>
      <c r="F5" s="26" t="s">
        <v>9578</v>
      </c>
      <c r="G5" s="30">
        <v>46104</v>
      </c>
      <c r="H5" s="26">
        <v>280</v>
      </c>
      <c r="I5" s="26" t="s">
        <v>9579</v>
      </c>
    </row>
    <row r="6" spans="1:9" x14ac:dyDescent="0.25">
      <c r="A6" s="26">
        <f t="shared" si="0"/>
        <v>4</v>
      </c>
      <c r="B6" s="30">
        <v>46121</v>
      </c>
      <c r="C6" s="26" t="s">
        <v>9891</v>
      </c>
      <c r="D6" s="26" t="s">
        <v>9892</v>
      </c>
      <c r="E6" s="26" t="s">
        <v>9928</v>
      </c>
      <c r="F6" s="26" t="s">
        <v>9929</v>
      </c>
      <c r="G6" s="30">
        <v>46122</v>
      </c>
      <c r="H6" s="26">
        <v>280</v>
      </c>
      <c r="I6" s="26" t="s">
        <v>9579</v>
      </c>
    </row>
    <row r="7" spans="1:9" x14ac:dyDescent="0.25">
      <c r="A7" s="26">
        <f t="shared" si="0"/>
        <v>5</v>
      </c>
      <c r="B7" s="30">
        <v>46125</v>
      </c>
      <c r="C7" s="26" t="s">
        <v>9970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2026-04-17T13:04:34Z</dcterms:modified>
</cp:coreProperties>
</file>