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C5BF9095-5D2D-4AFC-8543-5DCA4A950D92}" xr6:coauthVersionLast="47" xr6:coauthVersionMax="47" xr10:uidLastSave="{00000000-0000-0000-0000-000000000000}"/>
  <bookViews>
    <workbookView xWindow="-120" yWindow="-120" windowWidth="24240" windowHeight="13020" xr2:uid="{22B1B819-270B-4F63-82EC-34FAFE8739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1" l="1"/>
  <c r="C12" i="1"/>
  <c r="C13" i="1"/>
  <c r="C14" i="1"/>
  <c r="C9" i="1"/>
  <c r="C10" i="1"/>
  <c r="C15" i="1"/>
  <c r="C8" i="1"/>
  <c r="C5" i="1"/>
  <c r="F5" i="1" s="1"/>
</calcChain>
</file>

<file path=xl/sharedStrings.xml><?xml version="1.0" encoding="utf-8"?>
<sst xmlns="http://schemas.openxmlformats.org/spreadsheetml/2006/main" count="15" uniqueCount="15">
  <si>
    <t>RTO AMOUNT CALCULATOR</t>
  </si>
  <si>
    <t>Ex-Showroom</t>
  </si>
  <si>
    <t>Total Payable</t>
  </si>
  <si>
    <t>Tax(%)</t>
  </si>
  <si>
    <t>RTO(9%)</t>
  </si>
  <si>
    <t>RTO AMOUNT</t>
  </si>
  <si>
    <t>FINANCE</t>
  </si>
  <si>
    <t>FRONX SIGMA</t>
  </si>
  <si>
    <t>Model/Variant</t>
  </si>
  <si>
    <t>RTO</t>
  </si>
  <si>
    <t>RTO (Excl HYP)</t>
  </si>
  <si>
    <t>IGNIS SIGMA</t>
  </si>
  <si>
    <t>IGNIS DELTA</t>
  </si>
  <si>
    <t>FRONX DELTA+</t>
  </si>
  <si>
    <t>BALENO SIGMA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</si>
</sst>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10" fontId="3" fillId="3" borderId="7" xfId="0" applyNumberFormat="1" applyFont="1" applyFill="1" applyBorder="1" applyAlignment="1">
      <alignment horizontal="center" vertical="center"/>
    </xf>
    <xf numFmtId="2" fontId="3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1" fontId="4" fillId="3" borderId="8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3" borderId="7" xfId="0" applyFill="1" applyBorder="1"/>
    <xf numFmtId="0" fontId="0" fillId="3" borderId="8" xfId="0" applyFill="1" applyBorder="1"/>
    <xf numFmtId="0" fontId="5" fillId="0" borderId="0" xfId="0" applyFont="1"/>
    <xf numFmtId="1" fontId="3" fillId="3" borderId="6" xfId="0" applyNumberFormat="1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</cellXfs>
  <cellStyles count="1">
    <cellStyle name="Normal" xfId="0" builtinId="0"/>
  </cellStyles>
  <dxfs count="5"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E5FF5E-D675-4110-8AE2-0D63A21A8B82}" name="Table1" displayName="Table1" ref="A7:C15" totalsRowShown="0" headerRowDxfId="4" dataDxfId="3">
  <autoFilter ref="A7:C15" xr:uid="{26E5FF5E-D675-4110-8AE2-0D63A21A8B82}"/>
  <tableColumns count="3">
    <tableColumn id="1" xr3:uid="{E22E293B-5A23-4541-94D8-9971A1221DF9}" name="Model/Variant" dataDxfId="2"/>
    <tableColumn id="2" xr3:uid="{DEB0A180-7264-4B5F-B7A3-CD607567D8CE}" name="RTO" dataDxfId="1"/>
    <tableColumn id="3" xr3:uid="{E9027982-C4FE-4A70-9301-79918246757A}" name="RTO (Excl HYP)" dataDxfId="0">
      <calculatedColumnFormula>B8-1500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C0205-6B62-47CB-815D-5ED05ED4BECA}">
  <dimension ref="A1:F20"/>
  <sheetViews>
    <sheetView tabSelected="1" workbookViewId="0">
      <pane xSplit="7" ySplit="15" topLeftCell="H17" activePane="bottomRight" state="frozen"/>
      <selection pane="topRight" activeCell="H1" sqref="H1"/>
      <selection pane="bottomLeft" activeCell="A12" sqref="A12"/>
      <selection pane="bottomRight" activeCell="A5" sqref="A5"/>
    </sheetView>
  </sheetViews>
  <sheetFormatPr defaultRowHeight="15" x14ac:dyDescent="0.25"/>
  <cols>
    <col min="1" max="1" width="21.42578125" customWidth="1"/>
    <col min="2" max="2" width="13.7109375" customWidth="1"/>
    <col min="3" max="3" width="20.28515625" customWidth="1"/>
    <col min="4" max="4" width="13.85546875" customWidth="1"/>
    <col min="5" max="5" width="15.140625" customWidth="1"/>
    <col min="6" max="6" width="20" customWidth="1"/>
    <col min="7" max="7" width="9.140625" customWidth="1"/>
  </cols>
  <sheetData>
    <row r="1" spans="1:6" ht="15" customHeight="1" x14ac:dyDescent="0.25">
      <c r="A1" s="15" t="s">
        <v>0</v>
      </c>
      <c r="B1" s="16"/>
      <c r="C1" s="16"/>
      <c r="D1" s="16"/>
      <c r="E1" s="16"/>
      <c r="F1" s="17"/>
    </row>
    <row r="2" spans="1:6" ht="47.25" customHeight="1" x14ac:dyDescent="0.25">
      <c r="A2" s="18"/>
      <c r="B2" s="19"/>
      <c r="C2" s="19"/>
      <c r="D2" s="19"/>
      <c r="E2" s="19"/>
      <c r="F2" s="20"/>
    </row>
    <row r="3" spans="1:6" ht="15" customHeight="1" x14ac:dyDescent="0.25">
      <c r="A3" s="8"/>
      <c r="B3" s="9"/>
      <c r="C3" s="9"/>
      <c r="D3" s="9"/>
      <c r="E3" s="10"/>
      <c r="F3" s="11"/>
    </row>
    <row r="4" spans="1:6" ht="21" x14ac:dyDescent="0.25">
      <c r="A4" s="5" t="s">
        <v>1</v>
      </c>
      <c r="B4" s="6" t="s">
        <v>3</v>
      </c>
      <c r="C4" s="6" t="s">
        <v>2</v>
      </c>
      <c r="D4" s="6" t="s">
        <v>4</v>
      </c>
      <c r="E4" s="6" t="s">
        <v>6</v>
      </c>
      <c r="F4" s="7" t="s">
        <v>5</v>
      </c>
    </row>
    <row r="5" spans="1:6" ht="27.75" customHeight="1" x14ac:dyDescent="0.25">
      <c r="A5" s="13"/>
      <c r="B5" s="1">
        <v>0.18</v>
      </c>
      <c r="C5" s="2">
        <f>A5*(1+B5)</f>
        <v>0</v>
      </c>
      <c r="D5" s="1">
        <v>0.09</v>
      </c>
      <c r="E5" s="3">
        <v>1500</v>
      </c>
      <c r="F5" s="4">
        <f>C5*D5+E5+650+1.3</f>
        <v>2151.3000000000002</v>
      </c>
    </row>
    <row r="7" spans="1:6" ht="18.75" x14ac:dyDescent="0.3">
      <c r="A7" s="14" t="s">
        <v>8</v>
      </c>
      <c r="B7" s="14" t="s">
        <v>9</v>
      </c>
      <c r="C7" s="14" t="s">
        <v>10</v>
      </c>
    </row>
    <row r="8" spans="1:6" ht="18.75" x14ac:dyDescent="0.3">
      <c r="A8" s="14" t="s">
        <v>7</v>
      </c>
      <c r="B8" s="14">
        <v>63788</v>
      </c>
      <c r="C8" s="14">
        <f>B8-1500</f>
        <v>62288</v>
      </c>
    </row>
    <row r="9" spans="1:6" ht="18.75" x14ac:dyDescent="0.3">
      <c r="A9" s="14" t="s">
        <v>13</v>
      </c>
      <c r="B9" s="14">
        <v>74552</v>
      </c>
      <c r="C9" s="14">
        <f t="shared" ref="C9:C11" si="0">B9-1500</f>
        <v>73052</v>
      </c>
    </row>
    <row r="10" spans="1:6" ht="18.75" x14ac:dyDescent="0.3">
      <c r="A10" s="14" t="s">
        <v>11</v>
      </c>
      <c r="B10" s="14">
        <v>50327</v>
      </c>
      <c r="C10" s="14">
        <f t="shared" si="0"/>
        <v>48827</v>
      </c>
    </row>
    <row r="11" spans="1:6" ht="18.75" x14ac:dyDescent="0.3">
      <c r="A11" s="14" t="s">
        <v>12</v>
      </c>
      <c r="B11" s="14">
        <v>54773</v>
      </c>
      <c r="C11" s="14">
        <f t="shared" si="0"/>
        <v>53273</v>
      </c>
    </row>
    <row r="12" spans="1:6" ht="18.75" x14ac:dyDescent="0.3">
      <c r="A12" s="14" t="s">
        <v>14</v>
      </c>
      <c r="B12" s="14">
        <v>56048</v>
      </c>
      <c r="C12" s="14">
        <f>B12-1500</f>
        <v>54548</v>
      </c>
    </row>
    <row r="13" spans="1:6" ht="18.75" x14ac:dyDescent="0.3">
      <c r="A13" s="14"/>
      <c r="B13" s="14"/>
      <c r="C13" s="14">
        <f>B13-1500</f>
        <v>-1500</v>
      </c>
    </row>
    <row r="14" spans="1:6" ht="18.75" x14ac:dyDescent="0.3">
      <c r="A14" s="14"/>
      <c r="B14" s="14"/>
      <c r="C14" s="14">
        <f>B14-1500</f>
        <v>-1500</v>
      </c>
    </row>
    <row r="15" spans="1:6" ht="15.75" customHeight="1" x14ac:dyDescent="0.3">
      <c r="A15" s="14"/>
      <c r="B15" s="14"/>
      <c r="C15" s="14">
        <f>B11-1500</f>
        <v>53273</v>
      </c>
    </row>
    <row r="19" spans="1:6" ht="26.25" x14ac:dyDescent="0.4">
      <c r="C19" s="12"/>
      <c r="D19" s="12"/>
      <c r="E19" s="12"/>
      <c r="F19" s="12"/>
    </row>
    <row r="20" spans="1:6" ht="26.25" x14ac:dyDescent="0.4">
      <c r="A20" s="12"/>
      <c r="B20" s="12"/>
    </row>
  </sheetData>
  <mergeCells count="1">
    <mergeCell ref="A1:F2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2025-11-11T09:13:19Z</dcterms:created>
  <dcterms:modified xsi:type="dcterms:W3CDTF">2026-02-19T07:05:33Z</dcterms:modified>
</cp:coreProperties>
</file>