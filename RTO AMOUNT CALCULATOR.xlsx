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C1611D3-FBEB-49F3-8776-CB829096DC78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B14" i="1"/>
  <c r="B12" i="1"/>
  <c r="B9" i="1"/>
  <c r="B8" i="1"/>
  <c r="B11" i="1"/>
  <c r="B10" i="1"/>
  <c r="B15" i="1"/>
  <c r="C8" i="1"/>
  <c r="C9" i="1"/>
  <c r="C11" i="1"/>
  <c r="C12" i="1"/>
  <c r="C13" i="1"/>
  <c r="C14" i="1"/>
  <c r="C15" i="1"/>
  <c r="C17" i="1"/>
  <c r="C16" i="1"/>
  <c r="C10" i="1"/>
  <c r="C5" i="1"/>
  <c r="F5" i="1" s="1"/>
</calcChain>
</file>

<file path=xl/sharedStrings.xml><?xml version="1.0" encoding="utf-8"?>
<sst xmlns="http://schemas.openxmlformats.org/spreadsheetml/2006/main" count="21" uniqueCount="21">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</sst>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3"/>
  <sheetViews>
    <sheetView tabSelected="1" workbookViewId="0">
      <pane xSplit="7" ySplit="18" topLeftCell="H91" activePane="bottomRight" state="frozen"/>
      <selection pane="topRight" activeCell="H1" sqref="H1"/>
      <selection pane="bottomLeft" activeCell="A12" sqref="A12"/>
      <selection pane="bottomRight" activeCell="E6" sqref="E6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6" t="s">
        <v>0</v>
      </c>
      <c r="B1" s="17"/>
      <c r="C1" s="17"/>
      <c r="D1" s="17"/>
      <c r="E1" s="17"/>
      <c r="F1" s="18"/>
    </row>
    <row r="2" spans="1:6" ht="47.25" customHeight="1" x14ac:dyDescent="0.25">
      <c r="A2" s="19"/>
      <c r="B2" s="20"/>
      <c r="C2" s="20"/>
      <c r="D2" s="20"/>
      <c r="E2" s="20"/>
      <c r="F2" s="21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928095</v>
      </c>
      <c r="B5" s="1">
        <v>0.18</v>
      </c>
      <c r="C5" s="2">
        <f>A5*(1+B5)</f>
        <v>1095152.0999999999</v>
      </c>
      <c r="D5" s="1">
        <v>0.09</v>
      </c>
      <c r="E5" s="3">
        <v>0</v>
      </c>
      <c r="F5" s="4">
        <f>C5*D5+E5+664+1.3</f>
        <v>99228.988999999987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21" x14ac:dyDescent="0.35">
      <c r="A8" s="14" t="s">
        <v>7</v>
      </c>
      <c r="B8" s="15">
        <f>63788+14</f>
        <v>63802</v>
      </c>
      <c r="C8" s="14">
        <f>B8-1500</f>
        <v>62302</v>
      </c>
    </row>
    <row r="9" spans="1:6" ht="21" x14ac:dyDescent="0.35">
      <c r="A9" s="14" t="s">
        <v>18</v>
      </c>
      <c r="B9" s="15">
        <f>70988+14</f>
        <v>71002</v>
      </c>
      <c r="C9" s="14">
        <f>B9-1500</f>
        <v>69502</v>
      </c>
    </row>
    <row r="10" spans="1:6" ht="21" x14ac:dyDescent="0.35">
      <c r="A10" s="14" t="s">
        <v>13</v>
      </c>
      <c r="B10" s="15">
        <f>74552+14</f>
        <v>74566</v>
      </c>
      <c r="C10" s="14">
        <f t="shared" ref="C10:C15" si="0">B10-1500</f>
        <v>73066</v>
      </c>
    </row>
    <row r="11" spans="1:6" ht="21" x14ac:dyDescent="0.35">
      <c r="A11" s="14" t="s">
        <v>11</v>
      </c>
      <c r="B11" s="15">
        <f>50327+14</f>
        <v>50341</v>
      </c>
      <c r="C11" s="14">
        <f t="shared" si="0"/>
        <v>48841</v>
      </c>
    </row>
    <row r="12" spans="1:6" ht="21" x14ac:dyDescent="0.35">
      <c r="A12" s="14" t="s">
        <v>12</v>
      </c>
      <c r="B12" s="15">
        <f>54773+14</f>
        <v>54787</v>
      </c>
      <c r="C12" s="14">
        <f t="shared" si="0"/>
        <v>53287</v>
      </c>
    </row>
    <row r="13" spans="1:6" ht="21" x14ac:dyDescent="0.35">
      <c r="A13" s="14" t="s">
        <v>16</v>
      </c>
      <c r="B13" s="15">
        <v>59557</v>
      </c>
      <c r="C13" s="14">
        <f>B13-1500</f>
        <v>58057</v>
      </c>
    </row>
    <row r="14" spans="1:6" ht="21" x14ac:dyDescent="0.35">
      <c r="A14" s="14" t="s">
        <v>15</v>
      </c>
      <c r="B14" s="15">
        <f>64898+14</f>
        <v>64912</v>
      </c>
      <c r="C14" s="14">
        <f t="shared" si="0"/>
        <v>63412</v>
      </c>
    </row>
    <row r="15" spans="1:6" ht="21" x14ac:dyDescent="0.35">
      <c r="A15" s="14" t="s">
        <v>14</v>
      </c>
      <c r="B15" s="15">
        <f>56048+14</f>
        <v>56062</v>
      </c>
      <c r="C15" s="14">
        <f t="shared" si="0"/>
        <v>54562</v>
      </c>
    </row>
    <row r="16" spans="1:6" ht="21" x14ac:dyDescent="0.35">
      <c r="A16" s="14" t="s">
        <v>17</v>
      </c>
      <c r="B16" s="15">
        <f>5344+14</f>
        <v>5358</v>
      </c>
      <c r="C16" s="14">
        <f>Table1[[#This Row],[RTO]]-300</f>
        <v>5058</v>
      </c>
    </row>
    <row r="17" spans="1:6" ht="21" x14ac:dyDescent="0.35">
      <c r="A17" s="14" t="s">
        <v>19</v>
      </c>
      <c r="B17" s="15">
        <f>63338+14</f>
        <v>63352</v>
      </c>
      <c r="C17" s="14">
        <f>Table1[[#This Row],[RTO]]-1500</f>
        <v>61852</v>
      </c>
    </row>
    <row r="18" spans="1:6" ht="15.75" customHeight="1" x14ac:dyDescent="0.35">
      <c r="A18" s="14" t="s">
        <v>20</v>
      </c>
      <c r="B18" s="15">
        <v>71452</v>
      </c>
      <c r="C18" s="14">
        <f>Table1[[#This Row],[RTO]]-1500</f>
        <v>69952</v>
      </c>
    </row>
    <row r="22" spans="1:6" ht="26.25" x14ac:dyDescent="0.4">
      <c r="C22" s="12"/>
      <c r="D22" s="12"/>
      <c r="E22" s="12"/>
      <c r="F22" s="12"/>
    </row>
    <row r="23" spans="1:6" ht="26.25" x14ac:dyDescent="0.4">
      <c r="A23" s="12"/>
      <c r="B23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2026-03-27T08:56:10Z</dcterms:modified>
</cp:coreProperties>
</file>