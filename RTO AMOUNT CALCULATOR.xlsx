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B270AF73-19F6-4C32-9A5A-E12E75E958F2}" xr6:coauthVersionLast="47" xr6:coauthVersionMax="47" xr10:uidLastSave="{00000000-0000-0000-0000-000000000000}"/>
  <bookViews>
    <workbookView xWindow="-120" yWindow="-120" windowWidth="24240" windowHeight="13020" xr2:uid="{22B1B819-270B-4F63-82EC-34FAFE8739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5" i="1"/>
  <c r="C16" i="1"/>
  <c r="B12" i="1"/>
  <c r="C9" i="1"/>
  <c r="C8" i="1"/>
  <c r="C11" i="1"/>
  <c r="C10" i="1"/>
  <c r="F10" i="1" l="1"/>
  <c r="F11" i="1" s="1"/>
  <c r="F5" i="1"/>
</calcChain>
</file>

<file path=xl/sharedStrings.xml><?xml version="1.0" encoding="utf-8"?>
<sst xmlns="http://schemas.openxmlformats.org/spreadsheetml/2006/main" count="23" uniqueCount="23">
  <si>
    <t>RTO AMOUNT CALCULATOR</t>
  </si>
  <si>
    <t>Ex-Showroom</t>
  </si>
  <si>
    <t>Total Payable</t>
  </si>
  <si>
    <t>Tax(%)</t>
  </si>
  <si>
    <t>RTO(9%)</t>
  </si>
  <si>
    <t>RTO AMOUNT</t>
  </si>
  <si>
    <t>FINANCE</t>
  </si>
  <si>
    <t>FRONX SIGMA</t>
  </si>
  <si>
    <t>Model/Variant</t>
  </si>
  <si>
    <t>RTO</t>
  </si>
  <si>
    <t>RTO (Excl HYP)</t>
  </si>
  <si>
    <t>FRONX DELTA+</t>
  </si>
  <si>
    <t>BALENO SIGMA</t>
  </si>
  <si>
    <t>BALENO SIGMA©</t>
  </si>
  <si>
    <t>FRONX DELTA</t>
  </si>
  <si>
    <t>BALENO DELTA</t>
  </si>
  <si>
    <t>BALENO ZETA</t>
  </si>
  <si>
    <t>BH MV Tax</t>
  </si>
  <si>
    <t xml:space="preserve">RTO </t>
  </si>
  <si>
    <t>RTO(Incl Hyp)</t>
  </si>
  <si>
    <t>GV SIGMA</t>
  </si>
  <si>
    <t>TAX(%)</t>
  </si>
  <si>
    <t>GV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</si>
</sst>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0" fontId="3" fillId="3" borderId="7" xfId="0" applyNumberFormat="1" applyFont="1" applyFill="1" applyBorder="1" applyAlignment="1">
      <alignment horizontal="center" vertical="center"/>
    </xf>
    <xf numFmtId="2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8" xfId="0" applyFill="1" applyBorder="1"/>
    <xf numFmtId="0" fontId="5" fillId="0" borderId="0" xfId="0" applyFont="1"/>
    <xf numFmtId="1" fontId="3" fillId="3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/>
    <xf numFmtId="0" fontId="6" fillId="5" borderId="0" xfId="0" applyFont="1" applyFill="1" applyAlignment="1">
      <alignment horizontal="center"/>
    </xf>
    <xf numFmtId="1" fontId="3" fillId="5" borderId="0" xfId="0" applyNumberFormat="1" applyFont="1" applyFill="1"/>
    <xf numFmtId="0" fontId="6" fillId="6" borderId="0" xfId="0" applyFont="1" applyFill="1" applyAlignment="1">
      <alignment horizontal="center"/>
    </xf>
    <xf numFmtId="1" fontId="3" fillId="6" borderId="0" xfId="0" applyNumberFormat="1" applyFont="1" applyFill="1"/>
    <xf numFmtId="0" fontId="6" fillId="7" borderId="0" xfId="0" applyFont="1" applyFill="1" applyAlignment="1">
      <alignment horizontal="center"/>
    </xf>
    <xf numFmtId="0" fontId="3" fillId="7" borderId="0" xfId="0" applyFont="1" applyFill="1"/>
    <xf numFmtId="2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5FF5E-D675-4110-8AE2-0D63A21A8B82}" name="Table1" displayName="Table1" ref="A7:C21" totalsRowShown="0" headerRowDxfId="4" dataDxfId="3">
  <autoFilter ref="A7:C21" xr:uid="{26E5FF5E-D675-4110-8AE2-0D63A21A8B82}"/>
  <tableColumns count="3">
    <tableColumn id="1" xr3:uid="{E22E293B-5A23-4541-94D8-9971A1221DF9}" name="Model/Variant" dataDxfId="2"/>
    <tableColumn id="2" xr3:uid="{DEB0A180-7264-4B5F-B7A3-CD607567D8CE}" name="RTO" dataDxfId="1"/>
    <tableColumn id="3" xr3:uid="{E9027982-C4FE-4A70-9301-79918246757A}" name="RTO (Excl HYP)" dataDxfId="0">
      <calculatedColumnFormula>B8-1500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0205-6B62-47CB-815D-5ED05ED4BECA}">
  <dimension ref="A1:I26"/>
  <sheetViews>
    <sheetView tabSelected="1" workbookViewId="0">
      <selection activeCell="B5" sqref="B5"/>
    </sheetView>
  </sheetViews>
  <sheetFormatPr defaultRowHeight="15" x14ac:dyDescent="0.25"/>
  <cols>
    <col min="1" max="1" width="23" bestFit="1" customWidth="1"/>
    <col min="2" max="2" width="13.7109375" customWidth="1"/>
    <col min="3" max="3" width="20.28515625" customWidth="1"/>
    <col min="4" max="4" width="13.85546875" customWidth="1"/>
    <col min="5" max="5" width="16.85546875" bestFit="1" customWidth="1"/>
    <col min="6" max="6" width="20" customWidth="1"/>
    <col min="7" max="7" width="9.140625" customWidth="1"/>
    <col min="9" max="9" width="13.28515625" bestFit="1" customWidth="1"/>
  </cols>
  <sheetData>
    <row r="1" spans="1:9" ht="15" customHeight="1" x14ac:dyDescent="0.25">
      <c r="A1" s="25" t="s">
        <v>0</v>
      </c>
      <c r="B1" s="26"/>
      <c r="C1" s="26"/>
      <c r="D1" s="26"/>
      <c r="E1" s="26"/>
      <c r="F1" s="27"/>
    </row>
    <row r="2" spans="1:9" ht="47.25" customHeight="1" x14ac:dyDescent="0.25">
      <c r="A2" s="28"/>
      <c r="B2" s="29"/>
      <c r="C2" s="29"/>
      <c r="D2" s="29"/>
      <c r="E2" s="29"/>
      <c r="F2" s="30"/>
    </row>
    <row r="3" spans="1:9" ht="15" customHeight="1" x14ac:dyDescent="0.25">
      <c r="A3" s="8"/>
      <c r="B3" s="9"/>
      <c r="C3" s="9"/>
      <c r="D3" s="9"/>
      <c r="E3" s="10"/>
      <c r="F3" s="11"/>
    </row>
    <row r="4" spans="1:9" ht="21" x14ac:dyDescent="0.25">
      <c r="A4" s="5" t="s">
        <v>1</v>
      </c>
      <c r="B4" s="6" t="s">
        <v>3</v>
      </c>
      <c r="C4" s="6" t="s">
        <v>2</v>
      </c>
      <c r="D4" s="6" t="s">
        <v>4</v>
      </c>
      <c r="E4" s="6" t="s">
        <v>6</v>
      </c>
      <c r="F4" s="7" t="s">
        <v>5</v>
      </c>
    </row>
    <row r="5" spans="1:9" ht="27.75" customHeight="1" x14ac:dyDescent="0.25">
      <c r="A5" s="13">
        <v>593095</v>
      </c>
      <c r="B5" s="1">
        <v>0.18</v>
      </c>
      <c r="C5" s="2">
        <f>A5+(A5*B5)</f>
        <v>699852.1</v>
      </c>
      <c r="D5" s="1">
        <v>0.09</v>
      </c>
      <c r="E5" s="3">
        <v>1500</v>
      </c>
      <c r="F5" s="4">
        <f>C5*D5+E5+664+1.3</f>
        <v>65151.989000000001</v>
      </c>
    </row>
    <row r="7" spans="1:9" ht="21.95" customHeight="1" x14ac:dyDescent="0.25">
      <c r="A7" s="15" t="s">
        <v>8</v>
      </c>
      <c r="B7" s="15" t="s">
        <v>9</v>
      </c>
      <c r="C7" s="15" t="s">
        <v>10</v>
      </c>
    </row>
    <row r="8" spans="1:9" ht="21.95" customHeight="1" x14ac:dyDescent="0.25">
      <c r="A8" s="15" t="s">
        <v>7</v>
      </c>
      <c r="B8" s="16">
        <v>64252</v>
      </c>
      <c r="C8" s="15">
        <f>B8-1500</f>
        <v>62752</v>
      </c>
      <c r="E8" s="31" t="s">
        <v>17</v>
      </c>
      <c r="F8" s="31"/>
      <c r="I8" s="24"/>
    </row>
    <row r="9" spans="1:9" ht="21.95" customHeight="1" x14ac:dyDescent="0.3">
      <c r="A9" s="15" t="s">
        <v>14</v>
      </c>
      <c r="B9" s="16">
        <v>71902</v>
      </c>
      <c r="C9" s="15">
        <f>B9-1500</f>
        <v>70402</v>
      </c>
      <c r="E9" s="22" t="s">
        <v>21</v>
      </c>
      <c r="F9" s="23">
        <v>10</v>
      </c>
    </row>
    <row r="10" spans="1:9" ht="21.95" customHeight="1" x14ac:dyDescent="0.3">
      <c r="A10" s="15" t="s">
        <v>11</v>
      </c>
      <c r="B10" s="16">
        <v>75466</v>
      </c>
      <c r="C10" s="15">
        <f t="shared" ref="C10" si="0">B10-1500</f>
        <v>73966</v>
      </c>
      <c r="E10" s="18" t="s">
        <v>18</v>
      </c>
      <c r="F10" s="19">
        <f>((C5*F9%)/7.5+1)+664</f>
        <v>9996.3613333333342</v>
      </c>
    </row>
    <row r="11" spans="1:9" ht="21.95" customHeight="1" x14ac:dyDescent="0.3">
      <c r="A11" s="15" t="s">
        <v>12</v>
      </c>
      <c r="B11" s="16">
        <v>57052</v>
      </c>
      <c r="C11" s="15">
        <f t="shared" ref="C11:C16" si="1">B11-1500</f>
        <v>55552</v>
      </c>
      <c r="E11" s="20" t="s">
        <v>19</v>
      </c>
      <c r="F11" s="21">
        <f>F10+1500</f>
        <v>11496.361333333334</v>
      </c>
    </row>
    <row r="12" spans="1:9" ht="21.95" customHeight="1" x14ac:dyDescent="0.3">
      <c r="A12" s="15" t="s">
        <v>13</v>
      </c>
      <c r="B12" s="16">
        <f>5344+14</f>
        <v>5358</v>
      </c>
      <c r="C12" s="15">
        <f t="shared" si="1"/>
        <v>3858</v>
      </c>
      <c r="F12" s="17"/>
    </row>
    <row r="13" spans="1:9" ht="21.95" customHeight="1" x14ac:dyDescent="0.25">
      <c r="A13" s="15" t="s">
        <v>15</v>
      </c>
      <c r="B13" s="16">
        <v>64477</v>
      </c>
      <c r="C13" s="15">
        <f t="shared" si="1"/>
        <v>62977</v>
      </c>
    </row>
    <row r="14" spans="1:9" ht="21.95" customHeight="1" x14ac:dyDescent="0.25">
      <c r="A14" s="15" t="s">
        <v>16</v>
      </c>
      <c r="B14" s="16">
        <v>73252</v>
      </c>
      <c r="C14" s="15">
        <f t="shared" si="1"/>
        <v>71752</v>
      </c>
    </row>
    <row r="15" spans="1:9" ht="21.95" customHeight="1" x14ac:dyDescent="0.25">
      <c r="A15" s="15" t="s">
        <v>20</v>
      </c>
      <c r="B15" s="16">
        <v>99045</v>
      </c>
      <c r="C15" s="15">
        <f t="shared" si="1"/>
        <v>97545</v>
      </c>
    </row>
    <row r="16" spans="1:9" ht="21.95" customHeight="1" x14ac:dyDescent="0.25">
      <c r="A16" s="15" t="s">
        <v>22</v>
      </c>
      <c r="B16" s="16">
        <v>111033</v>
      </c>
      <c r="C16" s="15">
        <f t="shared" si="1"/>
        <v>109533</v>
      </c>
    </row>
    <row r="17" spans="1:6" ht="21.95" customHeight="1" x14ac:dyDescent="0.25">
      <c r="A17" s="15"/>
      <c r="B17" s="15"/>
      <c r="C17" s="15"/>
    </row>
    <row r="18" spans="1:6" ht="21.95" customHeight="1" x14ac:dyDescent="0.25">
      <c r="A18" s="15"/>
      <c r="B18" s="15"/>
      <c r="C18" s="15"/>
    </row>
    <row r="19" spans="1:6" ht="21.95" customHeight="1" x14ac:dyDescent="0.25">
      <c r="A19" s="15"/>
      <c r="B19" s="15"/>
      <c r="C19" s="15"/>
    </row>
    <row r="20" spans="1:6" ht="18.75" x14ac:dyDescent="0.25">
      <c r="A20" s="15"/>
      <c r="B20" s="15"/>
      <c r="C20" s="15"/>
    </row>
    <row r="21" spans="1:6" ht="18.75" x14ac:dyDescent="0.25">
      <c r="A21" s="15"/>
      <c r="B21" s="16"/>
      <c r="C21" s="15"/>
    </row>
    <row r="22" spans="1:6" ht="18.75" x14ac:dyDescent="0.3">
      <c r="A22" s="14"/>
      <c r="B22" s="14"/>
      <c r="C22" s="14"/>
    </row>
    <row r="23" spans="1:6" ht="26.25" x14ac:dyDescent="0.4">
      <c r="A23" s="14"/>
      <c r="B23" s="14"/>
      <c r="C23" s="14"/>
      <c r="D23" s="12"/>
      <c r="E23" s="12"/>
      <c r="F23" s="12"/>
    </row>
    <row r="24" spans="1:6" ht="18.75" x14ac:dyDescent="0.3">
      <c r="A24" s="14"/>
      <c r="B24" s="14"/>
      <c r="C24" s="14"/>
    </row>
    <row r="25" spans="1:6" ht="18.75" x14ac:dyDescent="0.3">
      <c r="A25" s="14"/>
      <c r="B25" s="14"/>
      <c r="C25" s="14"/>
    </row>
    <row r="26" spans="1:6" ht="18.75" x14ac:dyDescent="0.3">
      <c r="A26" s="14"/>
      <c r="B26" s="14"/>
      <c r="C26" s="14"/>
    </row>
  </sheetData>
  <mergeCells count="2">
    <mergeCell ref="A1:F2"/>
    <mergeCell ref="E8:F8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Ahmad Sofi</dc:creator>
  <cp:lastModifiedBy>Adil Ahmad Sofi</cp:lastModifiedBy>
  <dcterms:created xsi:type="dcterms:W3CDTF">2025-11-11T09:13:19Z</dcterms:created>
  <dcterms:modified xsi:type="dcterms:W3CDTF">2026-10-28T08:55:00Z</dcterms:modified>
</cp:coreProperties>
</file>