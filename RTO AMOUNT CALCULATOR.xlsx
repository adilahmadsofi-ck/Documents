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D21661B8-E405-4CF4-81D5-61630F87CAB9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1" l="1"/>
  <c r="C20" i="1"/>
  <c r="C21" i="1"/>
  <c r="C18" i="1"/>
  <c r="C19" i="1"/>
  <c r="B16" i="1"/>
  <c r="C16" i="1" s="1"/>
  <c r="B14" i="1"/>
  <c r="C14" i="1" s="1"/>
  <c r="B12" i="1"/>
  <c r="C12" i="1" s="1"/>
  <c r="C9" i="1"/>
  <c r="B8" i="1"/>
  <c r="C8" i="1" s="1"/>
  <c r="B11" i="1"/>
  <c r="C11" i="1"/>
  <c r="C13" i="1"/>
  <c r="C15" i="1"/>
  <c r="C17" i="1"/>
  <c r="C10" i="1"/>
  <c r="F10" i="1" l="1"/>
  <c r="F11" i="1" s="1"/>
  <c r="F5" i="1"/>
</calcChain>
</file>

<file path=xl/sharedStrings.xml><?xml version="1.0" encoding="utf-8"?>
<sst xmlns="http://schemas.openxmlformats.org/spreadsheetml/2006/main" count="27" uniqueCount="27">
  <si>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</si>
  <si>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</si>
  <si>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</si>
  <si>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</si>
  <si>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</si>
  <si>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</si>
  <si>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</si>
  <si>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</si>
  <si>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</si>
  <si>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</si>
  <si>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</si>
  <si>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</si>
  <si>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</si>
  <si>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</si>
  <si>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</si>
  <si>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</si>
  <si>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</si>
  <si>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</si>
  <si>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</si>
  <si>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</si>
  <si>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</si>
  <si>
    <t>BH MV Tax</t>
  </si>
  <si>
    <t xml:space="preserve">RTO </t>
  </si>
  <si>
    <t>RTO(Incl Hyp)</t>
  </si>
  <si>
    <t>GV SIGMA</t>
  </si>
  <si>
    <t>TAX(%)</t>
  </si>
  <si>
    <t>GV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</si>
</sst>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6" fillId="7" borderId="0" xfId="0" applyFont="1" applyFill="1" applyAlignment="1">
      <alignment horizontal="center"/>
    </xf>
    <xf numFmtId="0" fontId="3" fillId="7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21" totalsRowShown="0" headerRowDxfId="4" dataDxfId="3">
  <autoFilter ref="A7:C21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6"/>
  <sheetViews>
    <sheetView tabSelected="1" workbookViewId="0">
      <selection activeCell="C5" sqref="C5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  <col min="9" max="9" width="13.28515625" bestFit="1" customWidth="1"/>
  </cols>
  <sheetData>
    <row r="1" spans="1:6" ht="15" customHeight="1" x14ac:dyDescent="0.25">
      <c r="A1" s="24" t="s">
        <v>0</v>
      </c>
      <c r="B1" s="25"/>
      <c r="C1" s="25"/>
      <c r="D1" s="25"/>
      <c r="E1" s="25"/>
      <c r="F1" s="26"/>
    </row>
    <row r="2" spans="1:6" ht="47.25" customHeight="1" x14ac:dyDescent="0.25">
      <c r="A2" s="27"/>
      <c r="B2" s="28"/>
      <c r="C2" s="28"/>
      <c r="D2" s="28"/>
      <c r="E2" s="28"/>
      <c r="F2" s="2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768888</v>
      </c>
      <c r="B5" s="1">
        <v>0.4</v>
      </c>
      <c r="C5" s="2">
        <f>A5+(A5*B5)</f>
        <v>1076443.2</v>
      </c>
      <c r="D5" s="1">
        <v>0.09</v>
      </c>
      <c r="E5" s="3">
        <v>1500</v>
      </c>
      <c r="F5" s="4">
        <f>C5*D5+E5+664+1.3</f>
        <v>99045.187999999995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  <c r="E8" s="30" t="s">
        <v>21</v>
      </c>
      <c r="F8" s="30"/>
    </row>
    <row r="9" spans="1:6" ht="21.95" customHeight="1" x14ac:dyDescent="0.3">
      <c r="A9" s="15" t="s">
        <v>18</v>
      </c>
      <c r="B9" s="16">
        <v>71902</v>
      </c>
      <c r="C9" s="15">
        <f>B9-1500</f>
        <v>70402</v>
      </c>
      <c r="E9" s="22" t="s">
        <v>25</v>
      </c>
      <c r="F9" s="23">
        <v>10</v>
      </c>
    </row>
    <row r="10" spans="1:6" ht="21.95" customHeight="1" x14ac:dyDescent="0.3">
      <c r="A10" s="15" t="s">
        <v>13</v>
      </c>
      <c r="B10" s="16">
        <v>75466</v>
      </c>
      <c r="C10" s="15">
        <f t="shared" ref="C10:C15" si="0">B10-1500</f>
        <v>73966</v>
      </c>
      <c r="E10" s="18" t="s">
        <v>22</v>
      </c>
      <c r="F10" s="19">
        <f>((C5*F9%)/7.5+1)+664</f>
        <v>15017.576000000001</v>
      </c>
    </row>
    <row r="11" spans="1:6" ht="21.95" customHeight="1" x14ac:dyDescent="0.3">
      <c r="A11" s="15" t="s">
        <v>11</v>
      </c>
      <c r="B11" s="16">
        <f>50327+14</f>
        <v>50341</v>
      </c>
      <c r="C11" s="15">
        <f t="shared" si="0"/>
        <v>48841</v>
      </c>
      <c r="E11" s="20" t="s">
        <v>23</v>
      </c>
      <c r="F11" s="21">
        <f>F10+1500</f>
        <v>16517.576000000001</v>
      </c>
    </row>
    <row r="12" spans="1:6" ht="21.95" customHeight="1" x14ac:dyDescent="0.3">
      <c r="A12" s="15" t="s">
        <v>12</v>
      </c>
      <c r="B12" s="16">
        <f>54773+14</f>
        <v>54787</v>
      </c>
      <c r="C12" s="15">
        <f t="shared" si="0"/>
        <v>53287</v>
      </c>
      <c r="F12" s="17"/>
    </row>
    <row r="13" spans="1:6" ht="21.95" customHeight="1" x14ac:dyDescent="0.25">
      <c r="A13" s="15" t="s">
        <v>16</v>
      </c>
      <c r="B13" s="16">
        <v>59557</v>
      </c>
      <c r="C13" s="15">
        <f>B13-1500</f>
        <v>58057</v>
      </c>
    </row>
    <row r="14" spans="1:6" ht="21.95" customHeight="1" x14ac:dyDescent="0.25">
      <c r="A14" s="15" t="s">
        <v>15</v>
      </c>
      <c r="B14" s="16">
        <f>64898+14</f>
        <v>64912</v>
      </c>
      <c r="C14" s="15">
        <f t="shared" si="0"/>
        <v>63412</v>
      </c>
    </row>
    <row r="15" spans="1:6" ht="21.95" customHeight="1" x14ac:dyDescent="0.25">
      <c r="A15" s="15" t="s">
        <v>14</v>
      </c>
      <c r="B15" s="16">
        <v>56062</v>
      </c>
      <c r="C15" s="15">
        <f t="shared" si="0"/>
        <v>54562</v>
      </c>
    </row>
    <row r="16" spans="1:6" ht="21.95" customHeight="1" x14ac:dyDescent="0.25">
      <c r="A16" s="15" t="s">
        <v>17</v>
      </c>
      <c r="B16" s="16">
        <f>5344+14</f>
        <v>5358</v>
      </c>
      <c r="C16" s="15">
        <f>Table1[[#This Row],[RTO]]-300</f>
        <v>5058</v>
      </c>
    </row>
    <row r="17" spans="1:6" ht="21.95" customHeight="1" x14ac:dyDescent="0.25">
      <c r="A17" s="15" t="s">
        <v>19</v>
      </c>
      <c r="B17" s="16">
        <v>63802</v>
      </c>
      <c r="C17" s="15">
        <f>Table1[[#This Row],[RTO]]-1500</f>
        <v>62302</v>
      </c>
    </row>
    <row r="18" spans="1:6" ht="21.95" customHeight="1" x14ac:dyDescent="0.25">
      <c r="A18" s="15" t="s">
        <v>20</v>
      </c>
      <c r="B18" s="16">
        <v>71902</v>
      </c>
      <c r="C18" s="15">
        <f>Table1[[#This Row],[RTO]]-1500</f>
        <v>70402</v>
      </c>
    </row>
    <row r="19" spans="1:6" ht="21.95" customHeight="1" x14ac:dyDescent="0.25">
      <c r="A19" s="15" t="s">
        <v>24</v>
      </c>
      <c r="B19" s="16">
        <v>99045</v>
      </c>
      <c r="C19" s="15">
        <f>Table1[[#This Row],[RTO]]-1500</f>
        <v>97545</v>
      </c>
    </row>
    <row r="20" spans="1:6" ht="18.75" x14ac:dyDescent="0.25">
      <c r="A20" s="15" t="s">
        <v>26</v>
      </c>
      <c r="B20" s="16">
        <v>111033</v>
      </c>
      <c r="C20" s="15">
        <f t="shared" ref="C20:C21" si="1">B20-1500</f>
        <v>109533</v>
      </c>
    </row>
    <row r="21" spans="1:6" ht="18.75" x14ac:dyDescent="0.25">
      <c r="A21" s="15"/>
      <c r="B21" s="16"/>
      <c r="C21" s="15">
        <f t="shared" si="1"/>
        <v>-1500</v>
      </c>
    </row>
    <row r="22" spans="1:6" ht="18.75" x14ac:dyDescent="0.3">
      <c r="A22" s="14"/>
      <c r="B22" s="14"/>
      <c r="C22" s="14"/>
    </row>
    <row r="23" spans="1:6" ht="26.25" x14ac:dyDescent="0.4">
      <c r="A23" s="14"/>
      <c r="B23" s="14"/>
      <c r="C23" s="14"/>
      <c r="D23" s="12"/>
      <c r="E23" s="12"/>
      <c r="F23" s="12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  <row r="26" spans="1:6" ht="18.75" x14ac:dyDescent="0.3">
      <c r="A26" s="14"/>
      <c r="B26" s="14"/>
      <c r="C26" s="14"/>
    </row>
  </sheetData>
  <mergeCells count="2">
    <mergeCell ref="A1:F2"/>
    <mergeCell ref="E8:F8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2026-09-04T06:25:30Z</dcterms:modified>
</cp:coreProperties>
</file>