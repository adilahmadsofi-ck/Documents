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B673420-B98C-41D7-BD51-3993F2227F87}" xr6:coauthVersionLast="47" xr6:coauthVersionMax="47" xr10:uidLastSave="{00000000-0000-0000-0000-000000000000}"/>
  <bookViews>
    <workbookView xWindow="-120" yWindow="-120" windowWidth="24240" windowHeight="13020" tabRatio="521" activeTab="1" xr2:uid="{93CF5635-A28B-44AA-B287-64E049156707}"/>
  </bookViews>
  <sheets>
    <sheet name="DealerPayments" sheetId="1" r:id="rId1"/>
    <sheet name="Summary" sheetId="2" r:id="rId2"/>
  </sheets>
  <calcPr calcId="191029"/>
  <pivotCaches>
    <pivotCache cacheId="2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34" i="1" l="1"/>
  <c r="A1435" i="1"/>
  <c r="A1433" i="1"/>
  <c r="A1432" i="1"/>
  <c r="A1431" i="1"/>
  <c r="A1430" i="1"/>
  <c r="A1429" i="1"/>
  <c r="A1428" i="1"/>
  <c r="A1424" i="1"/>
  <c r="A1427" i="1"/>
  <c r="A1425" i="1"/>
  <c r="A1426" i="1"/>
  <c r="A1423" i="1"/>
  <c r="A1422" i="1"/>
  <c r="A1421" i="1"/>
  <c r="A1420" i="1"/>
  <c r="A1419" i="1"/>
  <c r="A1418" i="1" l="1"/>
  <c r="A1416" i="1"/>
  <c r="A1417" i="1"/>
  <c r="A1415" i="1"/>
  <c r="A1414" i="1"/>
  <c r="A1410" i="1"/>
  <c r="A1411" i="1"/>
  <c r="A1412" i="1"/>
  <c r="A1413" i="1"/>
  <c r="A1409" i="1"/>
  <c r="A1403" i="1"/>
  <c r="A1404" i="1"/>
  <c r="A1405" i="1"/>
  <c r="A1406" i="1"/>
  <c r="A1407" i="1"/>
  <c r="A1408" i="1"/>
  <c r="A1398" i="1"/>
  <c r="A1399" i="1"/>
  <c r="A1400" i="1"/>
  <c r="A1401" i="1"/>
  <c r="A1402" i="1"/>
  <c r="A1397" i="1"/>
  <c r="A1396" i="1"/>
  <c r="A1395" i="1"/>
  <c r="A1394" i="1"/>
  <c r="A1393" i="1"/>
  <c r="A1392" i="1"/>
  <c r="A1391" i="1"/>
  <c r="A1390" i="1"/>
  <c r="A1389" i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<sst xmlns="http://schemas.openxmlformats.org/spreadsheetml/2006/main" count="17901" uniqueCount="6510">
  <si>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</si>
  <si>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</si>
  <si>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</si>
  <si>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</si>
  <si>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</si>
  <si>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</si>
  <si>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</si>
  <si>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</si>
  <si>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</si>
  <si>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</si>
  <si>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</si>
  <si>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</si>
  <si>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</si>
  <si>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</si>
  <si>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</si>
  <si>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</si>
  <si>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</si>
  <si>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</si>
  <si>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</si>
  <si>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</si>
  <si>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</si>
  <si>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</si>
  <si>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</si>
  <si>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</si>
  <si>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</si>
  <si>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</si>
  <si>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</si>
  <si>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</si>
  <si>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</si>
  <si>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</si>
  <si>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</si>
  <si>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</si>
  <si>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</si>
  <si>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</si>
  <si>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</si>
  <si>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</si>
  <si>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</si>
  <si>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</si>
  <si>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</si>
  <si>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</si>
  <si>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</si>
  <si>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</si>
  <si>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</si>
  <si>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</si>
  <si>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</si>
  <si>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</si>
  <si>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</si>
  <si>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</si>
  <si>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</si>
  <si>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</si>
  <si>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</si>
  <si>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</si>
  <si>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</si>
  <si>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</si>
  <si>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</si>
  <si>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</si>
  <si>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</si>
  <si>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</si>
  <si>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</si>
  <si>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</si>
  <si>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</si>
  <si>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</si>
  <si>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</si>
  <si>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</si>
  <si>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</si>
  <si>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</si>
  <si>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</si>
  <si>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</si>
  <si>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</si>
  <si>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</si>
  <si>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</si>
  <si>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</si>
  <si>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</si>
  <si>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</si>
  <si>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</si>
  <si>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</si>
  <si>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</si>
  <si>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</si>
  <si>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</si>
  <si>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</si>
  <si>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</si>
  <si>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</si>
  <si>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</si>
  <si>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</si>
  <si>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</si>
  <si>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</si>
  <si>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</si>
  <si>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</si>
  <si>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</si>
  <si>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</si>
  <si>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</si>
  <si>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</si>
  <si>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</si>
  <si>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</si>
  <si>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</si>
  <si>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</si>
  <si>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</si>
  <si>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</si>
  <si>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</si>
  <si>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</si>
  <si>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</si>
  <si>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</si>
  <si>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</si>
  <si>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</si>
  <si>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</si>
  <si>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</si>
  <si>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</si>
  <si>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</si>
  <si>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</si>
  <si>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</si>
  <si>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</si>
  <si>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</si>
  <si>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</si>
  <si>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</si>
  <si>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</si>
  <si>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</si>
  <si>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</si>
  <si>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</si>
  <si>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</si>
  <si>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</si>
  <si>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</si>
  <si>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</si>
  <si>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</si>
  <si>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</si>
  <si>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</si>
  <si>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</si>
  <si>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</si>
  <si>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</si>
  <si>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</si>
  <si>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</si>
  <si>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</si>
  <si>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</si>
  <si>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</si>
  <si>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</si>
  <si>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</si>
  <si>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</si>
  <si>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</si>
  <si>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</si>
  <si>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</si>
  <si>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</si>
  <si>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</si>
  <si>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</si>
  <si>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</si>
  <si>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</si>
  <si>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</si>
  <si>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</si>
  <si>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</si>
  <si>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</si>
  <si>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</si>
  <si>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</si>
  <si>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</si>
  <si>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</si>
  <si>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</si>
  <si>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</si>
  <si>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</si>
  <si>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</si>
  <si>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</si>
  <si>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</si>
  <si>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</si>
  <si>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</si>
  <si>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</si>
  <si>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</si>
  <si>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</si>
  <si>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</si>
  <si>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</si>
  <si>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</si>
  <si>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</si>
  <si>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</si>
  <si>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</si>
  <si>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</si>
  <si>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</si>
  <si>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</si>
  <si>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</si>
  <si>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</si>
  <si>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</si>
  <si>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</si>
  <si>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</si>
  <si>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</si>
  <si>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</si>
  <si>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</si>
  <si>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</si>
  <si>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</si>
  <si>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</si>
  <si>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</si>
  <si>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</si>
  <si>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</si>
  <si>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</si>
  <si>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</si>
  <si>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</si>
  <si>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</si>
  <si>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</si>
  <si>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</si>
  <si>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</si>
  <si>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</si>
  <si>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</si>
  <si>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</si>
  <si>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</si>
  <si>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</si>
  <si>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</si>
  <si>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</si>
  <si>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</si>
  <si>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</si>
  <si>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</si>
  <si>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</si>
  <si>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</si>
  <si>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</si>
  <si>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</si>
  <si>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</si>
  <si>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</si>
  <si>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</si>
  <si>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</si>
  <si>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</si>
  <si>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</si>
  <si>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</si>
  <si>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</si>
  <si>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</si>
  <si>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</si>
  <si>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</si>
  <si>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</si>
  <si>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</si>
  <si>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</si>
  <si>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</si>
  <si>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</si>
  <si>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</si>
  <si>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</si>
  <si>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</si>
  <si>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</si>
  <si>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</si>
  <si>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</si>
  <si>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</si>
  <si>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</si>
  <si>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</si>
  <si>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</si>
  <si>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</si>
  <si>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</si>
  <si>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</si>
  <si>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</si>
  <si>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</si>
  <si>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</si>
  <si>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</si>
  <si>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</si>
  <si>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</si>
  <si>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</si>
  <si>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</si>
  <si>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</si>
  <si>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</si>
  <si>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</si>
  <si>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</si>
  <si>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</si>
  <si>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</si>
  <si>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</si>
  <si>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</si>
  <si>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</si>
  <si>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</si>
  <si>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</si>
  <si>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</si>
  <si>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</si>
  <si>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</si>
  <si>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</si>
  <si>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</si>
  <si>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</si>
  <si>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</si>
  <si>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</si>
  <si>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</si>
  <si>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</si>
  <si>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</si>
  <si>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</si>
  <si>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</si>
  <si>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</si>
  <si>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</si>
  <si>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</si>
  <si>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</si>
  <si>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</si>
  <si>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</si>
  <si>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</si>
  <si>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</si>
  <si>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</si>
  <si>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</si>
  <si>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</si>
  <si>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</si>
  <si>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</si>
  <si>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</si>
  <si>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</si>
  <si>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</si>
  <si>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</si>
  <si>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</si>
  <si>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</si>
  <si>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</si>
  <si>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</si>
  <si>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</si>
  <si>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</si>
  <si>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</si>
  <si>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</si>
  <si>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</si>
  <si>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</si>
  <si>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</si>
  <si>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</si>
  <si>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</si>
  <si>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</si>
  <si>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</si>
  <si>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</si>
  <si>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</si>
  <si>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</si>
  <si>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</si>
  <si>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</si>
  <si>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</si>
  <si>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</si>
  <si>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</si>
  <si>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</si>
  <si>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</si>
  <si>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</si>
  <si>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</si>
  <si>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</si>
  <si>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</si>
  <si>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</si>
  <si>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</si>
  <si>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</si>
  <si>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</si>
  <si>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</si>
  <si>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</si>
  <si>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</si>
  <si>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</si>
  <si>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</si>
  <si>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</si>
  <si>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</si>
  <si>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</si>
  <si>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</si>
  <si>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</si>
  <si>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</si>
  <si>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</si>
  <si>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</si>
  <si>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</si>
  <si>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</si>
  <si>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</si>
  <si>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</si>
  <si>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</si>
  <si>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</si>
  <si>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</si>
  <si>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</si>
  <si>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</si>
  <si>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</si>
  <si>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</si>
  <si>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</si>
  <si>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</si>
  <si>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</si>
  <si>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</si>
  <si>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</si>
  <si>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</si>
  <si>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</si>
  <si>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</si>
  <si>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</si>
  <si>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</si>
  <si>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</si>
  <si>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</si>
  <si>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</si>
  <si>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</si>
  <si>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</si>
  <si>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</si>
  <si>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</si>
  <si>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</si>
  <si>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</si>
  <si>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</si>
  <si>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</si>
  <si>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</si>
  <si>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</si>
  <si>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</si>
  <si>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</si>
  <si>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</si>
  <si>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</si>
  <si>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</si>
  <si>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</si>
  <si>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</si>
  <si>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</si>
  <si>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</si>
  <si>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</si>
  <si>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</si>
  <si>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</si>
  <si>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</si>
  <si>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</si>
  <si>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</si>
  <si>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</si>
  <si>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</si>
  <si>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</si>
  <si>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</si>
  <si>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</si>
  <si>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</si>
  <si>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</si>
  <si>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</si>
  <si>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</si>
  <si>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</si>
  <si>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</si>
  <si>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</si>
  <si>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</si>
  <si>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</si>
  <si>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</si>
  <si>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</si>
  <si>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</si>
  <si>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</si>
  <si>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</si>
  <si>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</si>
  <si>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</si>
  <si>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</si>
  <si>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</si>
  <si>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</si>
  <si>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</si>
  <si>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</si>
  <si>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</si>
  <si>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</si>
  <si>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</si>
  <si>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</si>
  <si>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</si>
  <si>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</si>
  <si>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</si>
  <si>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</si>
  <si>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</si>
  <si>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</si>
  <si>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</si>
  <si>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</si>
  <si>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</si>
  <si>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</si>
  <si>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</si>
  <si>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</si>
  <si>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</si>
  <si>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</si>
  <si>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</si>
  <si>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</si>
  <si>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</si>
  <si>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</si>
  <si>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</si>
  <si>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</si>
  <si>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</si>
  <si>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</si>
  <si>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</si>
  <si>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</si>
  <si>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</si>
  <si>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</si>
  <si>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</si>
  <si>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</si>
  <si>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</si>
  <si>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</si>
  <si>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</si>
  <si>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</si>
  <si>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</si>
  <si>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</si>
  <si>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</si>
  <si>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</si>
  <si>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</si>
  <si>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</si>
  <si>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</si>
  <si>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</si>
  <si>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</si>
  <si>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</si>
  <si>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</si>
  <si>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</si>
  <si>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</si>
  <si>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</si>
  <si>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</si>
  <si>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</si>
  <si>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</si>
  <si>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</si>
  <si>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</si>
  <si>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</si>
  <si>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</si>
  <si>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</si>
  <si>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</si>
  <si>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</si>
  <si>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</si>
  <si>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</si>
  <si>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</si>
  <si>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</si>
  <si>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</si>
  <si>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</si>
  <si>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</si>
  <si>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</si>
  <si>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</si>
  <si>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</si>
  <si>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</si>
  <si>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</si>
  <si>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</si>
  <si>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</si>
  <si>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</si>
  <si>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</si>
  <si>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</si>
  <si>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</si>
  <si>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</si>
  <si>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</si>
  <si>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</si>
  <si>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</si>
  <si>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</si>
  <si>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</si>
  <si>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</si>
  <si>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</si>
  <si>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</si>
  <si>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</si>
  <si>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</si>
  <si>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</si>
  <si>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</si>
  <si>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</si>
  <si>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</si>
  <si>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</si>
  <si>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</si>
  <si>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</si>
  <si>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</si>
  <si>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</si>
  <si>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</si>
  <si>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</si>
  <si>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</si>
  <si>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</si>
  <si>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</si>
  <si>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</si>
  <si>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</si>
  <si>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</si>
  <si>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</si>
  <si>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</si>
  <si>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</si>
  <si>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</si>
  <si>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</si>
  <si>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</si>
  <si>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</si>
  <si>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</si>
  <si>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</si>
  <si>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</si>
  <si>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</si>
  <si>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</si>
  <si>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</si>
  <si>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</si>
  <si>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</si>
  <si>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</si>
  <si>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</si>
  <si>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</si>
  <si>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</si>
  <si>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</si>
  <si>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</si>
  <si>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</si>
  <si>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</si>
  <si>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</si>
  <si>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</si>
  <si>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</si>
  <si>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</si>
  <si>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</si>
  <si>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</si>
  <si>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</si>
  <si>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</si>
  <si>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</si>
  <si>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</si>
  <si>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</si>
  <si>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</si>
  <si>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</si>
  <si>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</si>
  <si>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</si>
  <si>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</si>
  <si>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</si>
  <si>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</si>
  <si>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</si>
  <si>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</si>
  <si>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</si>
  <si>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</si>
  <si>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</si>
  <si>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</si>
  <si>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</si>
  <si>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</si>
  <si>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</si>
  <si>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</si>
  <si>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</si>
  <si>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</si>
  <si>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</si>
  <si>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</si>
  <si>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</si>
  <si>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</si>
  <si>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</si>
  <si>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</si>
  <si>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</si>
  <si>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</si>
  <si>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</si>
  <si>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</si>
  <si>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</si>
  <si>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</si>
  <si>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</si>
  <si>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</si>
  <si>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</si>
  <si>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</si>
  <si>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</si>
  <si>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</si>
  <si>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</si>
  <si>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</si>
  <si>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</si>
  <si>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</si>
  <si>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</si>
  <si>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</si>
  <si>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</si>
  <si>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</si>
  <si>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</si>
  <si>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</si>
  <si>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</si>
  <si>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</si>
  <si>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</si>
  <si>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</si>
  <si>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</si>
  <si>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</si>
  <si>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</si>
  <si>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</si>
  <si>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</si>
  <si>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</si>
  <si>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</si>
  <si>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</si>
  <si>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</si>
  <si>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</si>
  <si>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</si>
  <si>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</si>
  <si>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</si>
  <si>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</si>
  <si>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</si>
  <si>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</si>
  <si>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</si>
  <si>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</si>
  <si>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</si>
  <si>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</si>
  <si>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</si>
  <si>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</si>
  <si>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</si>
  <si>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</si>
  <si>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</si>
  <si>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</si>
  <si>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</si>
  <si>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</si>
  <si>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</si>
  <si>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</si>
  <si>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</si>
  <si>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</si>
  <si>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</si>
  <si>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</si>
  <si>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</si>
  <si>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</si>
  <si>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</si>
  <si>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</si>
  <si>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</si>
  <si>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</si>
  <si>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</si>
  <si>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</si>
  <si>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</si>
  <si>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</si>
  <si>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</si>
  <si>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</si>
  <si>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</si>
  <si>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</si>
  <si>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</si>
  <si>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</si>
  <si>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</si>
  <si>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</si>
  <si>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</si>
  <si>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</si>
  <si>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</si>
  <si>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</si>
  <si>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</si>
  <si>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</si>
  <si>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</si>
  <si>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</si>
  <si>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</si>
  <si>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</si>
  <si>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</si>
  <si>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</si>
  <si>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</si>
  <si>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</si>
  <si>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</si>
  <si>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</si>
  <si>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</si>
  <si>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</si>
  <si>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</si>
  <si>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</si>
  <si>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</si>
  <si>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</si>
  <si>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</si>
  <si>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</si>
  <si>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</si>
  <si>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</si>
  <si>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</si>
  <si>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</si>
  <si>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</si>
  <si>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</si>
  <si>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</si>
  <si>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</si>
  <si>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</si>
  <si>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</si>
  <si>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</si>
  <si>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</si>
  <si>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</si>
  <si>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</si>
  <si>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</si>
  <si>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</si>
  <si>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</si>
  <si>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</si>
  <si>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</si>
  <si>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</si>
  <si>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</si>
  <si>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</si>
  <si>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</si>
  <si>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</si>
  <si>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</si>
  <si>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</si>
  <si>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</si>
  <si>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</si>
  <si>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</si>
  <si>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</si>
  <si>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</si>
  <si>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</si>
  <si>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</si>
  <si>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</si>
  <si>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</si>
  <si>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</si>
  <si>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</si>
  <si>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</si>
  <si>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</si>
  <si>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</si>
  <si>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</si>
  <si>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</si>
  <si>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</si>
  <si>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</si>
  <si>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</si>
  <si>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</si>
  <si>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</si>
  <si>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</si>
  <si>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</si>
  <si>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</si>
  <si>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</si>
  <si>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</si>
  <si>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</si>
  <si>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</si>
  <si>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</si>
  <si>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</si>
  <si>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</si>
  <si>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</si>
  <si>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</si>
  <si>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</si>
  <si>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</si>
  <si>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</si>
  <si>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</si>
  <si>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</si>
  <si>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</si>
  <si>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</si>
  <si>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</si>
  <si>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</si>
  <si>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</si>
  <si>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</si>
  <si>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</si>
  <si>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</si>
  <si>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</si>
  <si>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</si>
  <si>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</si>
  <si>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</si>
  <si>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</si>
  <si>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</si>
  <si>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</si>
  <si>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</si>
  <si>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</si>
  <si>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</si>
  <si>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</si>
  <si>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</si>
  <si>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</si>
  <si>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</si>
  <si>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</si>
  <si>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</si>
  <si>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</si>
  <si>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</si>
  <si>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</si>
  <si>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</si>
  <si>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</si>
  <si>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</si>
  <si>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</si>
  <si>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</si>
  <si>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</si>
  <si>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</si>
  <si>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</si>
  <si>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</si>
  <si>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</si>
  <si>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</si>
  <si>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</si>
  <si>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</si>
  <si>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</si>
  <si>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</si>
  <si>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</si>
  <si>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</si>
  <si>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</si>
  <si>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</si>
  <si>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</si>
  <si>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</si>
  <si>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</si>
  <si>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</si>
  <si>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</si>
  <si>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</si>
  <si>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</si>
  <si>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</si>
  <si>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</si>
  <si>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</si>
  <si>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</si>
  <si>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</si>
  <si>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</si>
  <si>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</si>
  <si>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</si>
  <si>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</si>
  <si>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</si>
  <si>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</si>
  <si>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</si>
  <si>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</si>
  <si>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</si>
  <si>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</si>
  <si>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</si>
  <si>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</si>
  <si>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</si>
  <si>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</si>
  <si>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</si>
  <si>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</si>
  <si>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</si>
  <si>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</si>
  <si>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</si>
  <si>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</si>
  <si>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</si>
  <si>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</si>
  <si>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</si>
  <si>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</si>
  <si>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</si>
  <si>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</si>
  <si>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</si>
  <si>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</si>
  <si>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</si>
  <si>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</si>
  <si>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</si>
  <si>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</si>
  <si>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</si>
  <si>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</si>
  <si>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</si>
  <si>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</si>
  <si>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</si>
  <si>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</si>
  <si>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</si>
  <si>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</si>
  <si>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</si>
  <si>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</si>
  <si>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</si>
  <si>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</si>
  <si>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</si>
  <si>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</si>
  <si>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</si>
  <si>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</si>
  <si>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</si>
  <si>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</si>
  <si>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</si>
  <si>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</si>
  <si>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</si>
  <si>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</si>
  <si>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</si>
  <si>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</si>
  <si>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</si>
  <si>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</si>
  <si>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</si>
  <si>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</si>
  <si>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</si>
  <si>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</si>
  <si>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</si>
  <si>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</si>
  <si>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</si>
  <si>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</si>
  <si>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</si>
  <si>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</si>
  <si>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</si>
  <si>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</si>
  <si>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</si>
  <si>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</si>
  <si>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</si>
  <si>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</si>
  <si>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</si>
  <si>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</si>
  <si>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</si>
  <si>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</si>
  <si>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</si>
  <si>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</si>
  <si>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</si>
  <si>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</si>
  <si>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</si>
  <si>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</si>
  <si>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</si>
  <si>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</si>
  <si>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</si>
  <si>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</si>
  <si>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</si>
  <si>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</si>
  <si>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</si>
  <si>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</si>
  <si>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</si>
  <si>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</si>
  <si>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</si>
  <si>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</si>
  <si>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</si>
  <si>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</si>
  <si>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</si>
  <si>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</si>
  <si>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</si>
  <si>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</si>
  <si>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</si>
  <si>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</si>
  <si>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</si>
  <si>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</si>
  <si>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</si>
  <si>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</si>
  <si>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</si>
  <si>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</si>
  <si>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</si>
  <si>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</si>
  <si>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</si>
  <si>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</si>
  <si>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</si>
  <si>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</si>
  <si>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</si>
  <si>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</si>
  <si>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</si>
  <si>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</si>
  <si>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</si>
  <si>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</si>
  <si>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</si>
  <si>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</si>
  <si>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</si>
  <si>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</si>
  <si>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</si>
  <si>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</si>
  <si>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</si>
  <si>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</si>
  <si>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</si>
  <si>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</si>
  <si>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</si>
  <si>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</si>
  <si>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</si>
  <si>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</si>
  <si>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</si>
  <si>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</si>
  <si>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</si>
  <si>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</si>
  <si>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</si>
  <si>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</si>
  <si>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</si>
  <si>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</si>
  <si>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</si>
  <si>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</si>
  <si>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</si>
  <si>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</si>
  <si>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</si>
  <si>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</si>
  <si>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</si>
  <si>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</si>
  <si>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</si>
  <si>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</si>
  <si>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</si>
  <si>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</si>
  <si>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</si>
  <si>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</si>
  <si>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</si>
  <si>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</si>
  <si>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</si>
  <si>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</si>
  <si>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</si>
  <si>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</si>
  <si>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</si>
  <si>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</si>
  <si>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</si>
  <si>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</si>
  <si>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</si>
  <si>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</si>
  <si>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</si>
  <si>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</si>
  <si>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</si>
  <si>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</si>
  <si>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</si>
  <si>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</si>
  <si>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</si>
  <si>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</si>
  <si>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</si>
  <si>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</si>
  <si>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</si>
  <si>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</si>
  <si>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</si>
  <si>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</si>
  <si>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</si>
  <si>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</si>
  <si>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</si>
  <si>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</si>
  <si>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</si>
  <si>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</si>
  <si>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</si>
  <si>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</si>
  <si>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</si>
  <si>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</si>
  <si>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</si>
  <si>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</si>
  <si>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</si>
  <si>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</si>
  <si>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</si>
  <si>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</si>
  <si>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</si>
  <si>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</si>
  <si>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</si>
  <si>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</si>
  <si>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</si>
  <si>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</si>
  <si>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</si>
  <si>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</si>
  <si>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</si>
  <si>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</si>
  <si>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</si>
  <si>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</si>
  <si>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</si>
  <si>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</si>
  <si>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</si>
  <si>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</si>
  <si>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</si>
  <si>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</si>
  <si>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</si>
  <si>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</si>
  <si>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</si>
  <si>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</si>
  <si>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</si>
  <si>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</si>
  <si>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</si>
  <si>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</si>
  <si>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</si>
  <si>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</si>
  <si>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</si>
  <si>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</si>
  <si>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</si>
  <si>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</si>
  <si>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</si>
  <si>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</si>
  <si>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</si>
  <si>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</si>
  <si>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</si>
  <si>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</si>
  <si>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</si>
  <si>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</si>
  <si>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</si>
  <si>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</si>
  <si>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</si>
  <si>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</si>
  <si>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</si>
  <si>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</si>
  <si>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</si>
  <si>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</si>
  <si>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</si>
  <si>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</si>
  <si>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</si>
  <si>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</si>
  <si>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</si>
  <si>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</si>
  <si>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</si>
  <si>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</si>
  <si>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</si>
  <si>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</si>
  <si>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</si>
  <si>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</si>
  <si>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</si>
  <si>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</si>
  <si>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</si>
  <si>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</si>
  <si>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</si>
  <si>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</si>
  <si>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</si>
  <si>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</si>
  <si>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</si>
  <si>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</si>
  <si>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</si>
  <si>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</si>
  <si>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</si>
  <si>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</si>
  <si>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</si>
  <si>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</si>
  <si>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</si>
  <si>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</si>
  <si>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</si>
  <si>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</si>
  <si>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</si>
  <si>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</si>
  <si>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</si>
  <si>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</si>
  <si>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</si>
  <si>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</si>
  <si>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</si>
  <si>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</si>
  <si>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</si>
  <si>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</si>
  <si>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</si>
  <si>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</si>
  <si>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</si>
  <si>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</si>
  <si>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</si>
  <si>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</si>
  <si>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</si>
  <si>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</si>
  <si>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</si>
  <si>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</si>
  <si>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</si>
  <si>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</si>
  <si>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</si>
  <si>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</si>
  <si>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</si>
  <si>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</si>
  <si>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</si>
  <si>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</si>
  <si>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</si>
  <si>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</si>
  <si>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</si>
  <si>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</si>
  <si>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</si>
  <si>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</si>
  <si>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</si>
  <si>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</si>
  <si>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</si>
  <si>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</si>
  <si>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</si>
  <si>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</si>
  <si>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</si>
  <si>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</si>
  <si>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</si>
  <si>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</si>
  <si>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</si>
  <si>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</si>
  <si>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</si>
  <si>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</si>
  <si>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</si>
  <si>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</si>
  <si>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</si>
  <si>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</si>
  <si>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</si>
  <si>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</si>
  <si>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</si>
  <si>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</si>
  <si>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</si>
  <si>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</si>
  <si>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</si>
  <si>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</si>
  <si>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</si>
  <si>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</si>
  <si>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</si>
  <si>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</si>
  <si>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</si>
  <si>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</si>
  <si>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</si>
  <si>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</si>
  <si>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</si>
  <si>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</si>
  <si>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</si>
  <si>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</si>
  <si>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</si>
  <si>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</si>
  <si>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</si>
  <si>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</si>
  <si>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</si>
  <si>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</si>
  <si>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</si>
  <si>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</si>
  <si>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</si>
  <si>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</si>
  <si>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</si>
  <si>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</si>
  <si>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</si>
  <si>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</si>
  <si>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</si>
  <si>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</si>
  <si>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</si>
  <si>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</si>
  <si>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</si>
  <si>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</si>
  <si>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</si>
  <si>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</si>
  <si>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</si>
  <si>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</si>
  <si>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</si>
  <si>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</si>
  <si>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</si>
  <si>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</si>
  <si>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</si>
  <si>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</si>
  <si>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</si>
  <si>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</si>
  <si>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</si>
  <si>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</si>
  <si>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</si>
  <si>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</si>
  <si>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</si>
  <si>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</si>
  <si>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</si>
  <si>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</si>
  <si>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</si>
  <si>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</si>
  <si>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</si>
  <si>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</si>
  <si>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</si>
  <si>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</si>
  <si>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</si>
  <si>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</si>
  <si>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</si>
  <si>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</si>
  <si>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</si>
  <si>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</si>
  <si>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</si>
  <si>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</si>
  <si>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</si>
  <si>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</si>
  <si>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</si>
  <si>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</si>
  <si>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</si>
  <si>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</si>
  <si>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</si>
  <si>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</si>
  <si>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</si>
  <si>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</si>
  <si>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</si>
  <si>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</si>
  <si>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</si>
  <si>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</si>
  <si>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</si>
  <si>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</si>
  <si>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</si>
  <si>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</si>
  <si>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</si>
  <si>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</si>
  <si>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</si>
  <si>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</si>
  <si>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</si>
  <si>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</si>
  <si>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</si>
  <si>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</si>
  <si>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</si>
  <si>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</si>
  <si>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</si>
  <si>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</si>
  <si>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</si>
  <si>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</si>
  <si>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</si>
  <si>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</si>
  <si>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</si>
  <si>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</si>
  <si>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</si>
  <si>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</si>
  <si>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</si>
  <si>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</si>
  <si>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</si>
  <si>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</si>
  <si>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</si>
  <si>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</si>
  <si>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</si>
  <si>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</si>
  <si>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</si>
  <si>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</si>
  <si>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</si>
  <si>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</si>
  <si>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</si>
  <si>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</si>
  <si>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</si>
  <si>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</si>
  <si>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</si>
  <si>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</si>
  <si>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</si>
  <si>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</si>
  <si>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</si>
  <si>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</si>
  <si>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</si>
  <si>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</si>
  <si>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</si>
  <si>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</si>
  <si>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</si>
  <si>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</si>
  <si>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</si>
  <si>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</si>
  <si>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</si>
  <si>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</si>
  <si>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</si>
  <si>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</si>
  <si>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</si>
  <si>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</si>
  <si>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</si>
  <si>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</si>
  <si>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</si>
  <si>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</si>
  <si>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</si>
  <si>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</si>
  <si>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</si>
  <si>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</si>
  <si>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</si>
  <si>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</si>
  <si>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</si>
  <si>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</si>
  <si>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</si>
  <si>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</si>
  <si>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</si>
  <si>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</si>
  <si>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</si>
  <si>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</si>
  <si>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</si>
  <si>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</si>
  <si>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</si>
  <si>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</si>
  <si>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</si>
  <si>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</si>
  <si>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</si>
  <si>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</si>
  <si>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</si>
  <si>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</si>
  <si>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</si>
  <si>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</si>
  <si>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</si>
  <si>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</si>
  <si>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</si>
  <si>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</si>
  <si>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</si>
  <si>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</si>
  <si>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</si>
  <si>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</si>
  <si>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</si>
  <si>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</si>
  <si>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</si>
  <si>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</si>
  <si>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</si>
  <si>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</si>
  <si>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</si>
  <si>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</si>
  <si>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</si>
  <si>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</si>
  <si>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</si>
  <si>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</si>
  <si>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</si>
  <si>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</si>
  <si>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</si>
  <si>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</si>
  <si>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</si>
  <si>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</si>
  <si>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</si>
  <si>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</si>
  <si>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</si>
  <si>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</si>
  <si>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</si>
  <si>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</si>
  <si>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</si>
  <si>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</si>
  <si>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</si>
  <si>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</si>
  <si>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</si>
  <si>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</si>
  <si>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</si>
  <si>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</si>
  <si>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</si>
  <si>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</si>
  <si>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</si>
  <si>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</si>
  <si>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</si>
  <si>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</si>
  <si>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</si>
  <si>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</si>
  <si>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</si>
  <si>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</si>
  <si>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</si>
  <si>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</si>
  <si>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</si>
  <si>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</si>
  <si>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</si>
  <si>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</si>
  <si>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</si>
  <si>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</si>
  <si>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</si>
  <si>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</si>
  <si>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</si>
  <si>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</si>
  <si>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</si>
  <si>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</si>
  <si>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</si>
  <si>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</si>
  <si>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</si>
  <si>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</si>
  <si>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</si>
  <si>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</si>
  <si>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</si>
  <si>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</si>
  <si>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</si>
  <si>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</si>
  <si>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</si>
  <si>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</si>
  <si>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</si>
  <si>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</si>
  <si>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</si>
  <si>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</si>
  <si>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</si>
  <si>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</si>
  <si>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</si>
  <si>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</si>
  <si>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</si>
  <si>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</si>
  <si>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</si>
  <si>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</si>
  <si>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</si>
  <si>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</si>
  <si>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</si>
  <si>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</si>
  <si>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</si>
  <si>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</si>
  <si>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</si>
  <si>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</si>
  <si>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</si>
  <si>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</si>
  <si>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</si>
  <si>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</si>
  <si>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</si>
  <si>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</si>
  <si>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</si>
  <si>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</si>
  <si>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</si>
  <si>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</si>
  <si>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</si>
  <si>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</si>
  <si>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</si>
  <si>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</si>
  <si>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</si>
  <si>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</si>
  <si>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</si>
  <si>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</si>
  <si>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</si>
  <si>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</si>
  <si>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</si>
  <si>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</si>
  <si>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</si>
  <si>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</si>
  <si>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</si>
  <si>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</si>
  <si>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</si>
  <si>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</si>
  <si>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</si>
  <si>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</si>
  <si>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</si>
  <si>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</si>
  <si>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</si>
  <si>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</si>
  <si>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</si>
  <si>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</si>
  <si>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</si>
  <si>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</si>
  <si>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</si>
  <si>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</si>
  <si>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</si>
  <si>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</si>
  <si>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</si>
  <si>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</si>
  <si>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</si>
  <si>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</si>
  <si>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</si>
  <si>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</si>
  <si>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</si>
  <si>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</si>
  <si>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</si>
  <si>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</si>
  <si>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</si>
  <si>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</si>
  <si>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</si>
  <si>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</si>
  <si>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</si>
  <si>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</si>
  <si>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</si>
  <si>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</si>
  <si>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</si>
  <si>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</si>
  <si>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</si>
  <si>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</si>
  <si>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</si>
  <si>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</si>
  <si>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</si>
  <si>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</si>
  <si>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</si>
  <si>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</si>
  <si>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</si>
  <si>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</si>
  <si>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</si>
  <si>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</si>
  <si>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</si>
  <si>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</si>
  <si>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</si>
  <si>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</si>
  <si>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</si>
  <si>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</si>
  <si>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</si>
  <si>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</si>
  <si>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</si>
  <si>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</si>
  <si>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</si>
  <si>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</si>
  <si>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</si>
  <si>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</si>
  <si>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</si>
  <si>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</si>
  <si>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</si>
  <si>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</si>
  <si>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</si>
  <si>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</si>
  <si>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</si>
  <si>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</si>
  <si>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</si>
  <si>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</si>
  <si>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</si>
  <si>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</si>
  <si>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</si>
  <si>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</si>
  <si>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</si>
  <si>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</si>
  <si>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</si>
  <si>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</si>
  <si>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</si>
  <si>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</si>
  <si>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</si>
  <si>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</si>
  <si>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</si>
  <si>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</si>
  <si>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</si>
  <si>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</si>
  <si>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</si>
  <si>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</si>
  <si>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</si>
  <si>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</si>
  <si>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</si>
  <si>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</si>
  <si>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</si>
  <si>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</si>
  <si>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</si>
  <si>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</si>
  <si>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</si>
  <si>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</si>
  <si>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</si>
  <si>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</si>
  <si>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</si>
  <si>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</si>
  <si>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</si>
  <si>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</si>
  <si>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</si>
  <si>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</si>
  <si>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</si>
  <si>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</si>
  <si>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</si>
  <si>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</si>
  <si>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</si>
  <si>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</si>
  <si>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</si>
  <si>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</si>
  <si>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</si>
  <si>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</si>
  <si>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</si>
  <si>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</si>
  <si>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</si>
  <si>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</si>
  <si>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</si>
  <si>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</si>
  <si>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</si>
  <si>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</si>
  <si>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</si>
  <si>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</si>
  <si>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</si>
  <si>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</si>
  <si>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</si>
  <si>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</si>
  <si>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</si>
  <si>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</si>
  <si>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</si>
  <si>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</si>
  <si>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</si>
  <si>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</si>
  <si>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</si>
  <si>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</si>
  <si>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</si>
  <si>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</si>
  <si>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</si>
  <si>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</si>
  <si>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</si>
  <si>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</si>
  <si>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</si>
  <si>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</si>
  <si>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</si>
  <si>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</si>
  <si>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</si>
  <si>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</si>
  <si>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</si>
  <si>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</si>
  <si>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</si>
  <si>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</si>
  <si>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</si>
  <si>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</si>
  <si>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</si>
  <si>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</si>
  <si>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</si>
  <si>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</si>
  <si>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</si>
  <si>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</si>
  <si>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</si>
  <si>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</si>
  <si>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</si>
  <si>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</si>
  <si>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</si>
  <si>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</si>
  <si>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</si>
  <si>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</si>
  <si>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</si>
  <si>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</si>
  <si>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</si>
  <si>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</si>
  <si>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</si>
  <si>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</si>
  <si>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</si>
  <si>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</si>
  <si>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</si>
  <si>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</si>
  <si>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</si>
  <si>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</si>
  <si>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</si>
  <si>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</si>
  <si>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</si>
  <si>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</si>
  <si>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</si>
  <si>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</si>
  <si>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</si>
  <si>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</si>
  <si>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</si>
  <si>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</si>
  <si>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</si>
  <si>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</si>
  <si>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</si>
  <si>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</si>
  <si>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</si>
  <si>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</si>
  <si>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</si>
  <si>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</si>
  <si>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</si>
  <si>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</si>
  <si>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</si>
  <si>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</si>
  <si>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</si>
  <si>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</si>
  <si>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</si>
  <si>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</si>
  <si>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</si>
  <si>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</si>
  <si>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</si>
  <si>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</si>
  <si>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</si>
  <si>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</si>
  <si>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</si>
  <si>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</si>
  <si>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</si>
  <si>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</si>
  <si>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</si>
  <si>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</si>
  <si>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</si>
  <si>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</si>
  <si>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</si>
  <si>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</si>
  <si>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</si>
  <si>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</si>
  <si>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</si>
  <si>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</si>
  <si>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</si>
  <si>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</si>
  <si>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</si>
  <si>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</si>
  <si>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</si>
  <si>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</si>
  <si>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</si>
  <si>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</si>
  <si>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</si>
  <si>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</si>
  <si>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</si>
  <si>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</si>
  <si>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</si>
  <si>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</si>
  <si>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</si>
  <si>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</si>
  <si>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</si>
  <si>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</si>
  <si>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</si>
  <si>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</si>
  <si>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</si>
  <si>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</si>
  <si>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</si>
  <si>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</si>
  <si>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</si>
  <si>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</si>
  <si>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</si>
  <si>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</si>
  <si>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</si>
  <si>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</si>
  <si>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</si>
  <si>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</si>
  <si>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</si>
  <si>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</si>
  <si>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</si>
  <si>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</si>
  <si>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</si>
  <si>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</si>
  <si>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</si>
  <si>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</si>
  <si>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</si>
  <si>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</si>
  <si>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</si>
  <si>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</si>
  <si>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</si>
  <si>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</si>
  <si>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</si>
  <si>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</si>
  <si>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</si>
  <si>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</si>
  <si>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</si>
  <si>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</si>
  <si>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</si>
  <si>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</si>
  <si>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</si>
  <si>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</si>
  <si>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</si>
  <si>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</si>
  <si>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</si>
  <si>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</si>
  <si>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</si>
  <si>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</si>
  <si>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</si>
  <si>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</si>
  <si>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</si>
  <si>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</si>
  <si>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</si>
  <si>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</si>
  <si>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</si>
  <si>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</si>
  <si>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</si>
  <si>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</si>
  <si>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</si>
  <si>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</si>
  <si>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</si>
  <si>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</si>
  <si>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</si>
  <si>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</si>
  <si>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</si>
  <si>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</si>
  <si>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</si>
  <si>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</si>
  <si>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</si>
  <si>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</si>
  <si>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</si>
  <si>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</si>
  <si>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</si>
  <si>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</si>
  <si>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</si>
  <si>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</si>
  <si>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</si>
  <si>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</si>
  <si>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</si>
  <si>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</si>
  <si>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</si>
  <si>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</si>
  <si>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</si>
  <si>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</si>
  <si>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</si>
  <si>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</si>
  <si>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</si>
  <si>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</si>
  <si>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</si>
  <si>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</si>
  <si>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</si>
  <si>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</si>
  <si>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</si>
  <si>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</si>
  <si>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</si>
  <si>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</si>
  <si>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</si>
  <si>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</si>
  <si>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</si>
  <si>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</si>
  <si>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</si>
  <si>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</si>
  <si>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</si>
  <si>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</si>
  <si>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</si>
  <si>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</si>
  <si>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</si>
  <si>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</si>
  <si>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</si>
  <si>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</si>
  <si>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</si>
  <si>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</si>
  <si>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</si>
  <si>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</si>
  <si>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</si>
  <si>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</si>
  <si>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</si>
  <si>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</si>
  <si>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</si>
  <si>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</si>
  <si>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</si>
  <si>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</si>
  <si>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</si>
  <si>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</si>
  <si>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</si>
  <si>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</si>
  <si>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</si>
  <si>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</si>
  <si>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</si>
  <si>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</si>
  <si>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</si>
  <si>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</si>
  <si>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</si>
  <si>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</si>
  <si>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</si>
  <si>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</si>
  <si>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</si>
  <si>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</si>
  <si>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</si>
  <si>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</si>
  <si>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</si>
  <si>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</si>
  <si>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</si>
  <si>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</si>
  <si>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</si>
  <si>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</si>
  <si>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</si>
  <si>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</si>
  <si>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</si>
  <si>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</si>
  <si>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</si>
  <si>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</si>
  <si>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</si>
  <si>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</si>
  <si>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</si>
  <si>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</si>
  <si>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</si>
  <si>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</si>
  <si>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</si>
  <si>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</si>
  <si>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</si>
  <si>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</si>
  <si>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</si>
  <si>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</si>
  <si>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</si>
  <si>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</si>
  <si>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</si>
  <si>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</si>
  <si>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</si>
  <si>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</si>
  <si>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</si>
  <si>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</si>
  <si>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</si>
  <si>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</si>
  <si>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</si>
  <si>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</si>
  <si>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</si>
  <si>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</si>
  <si>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</si>
  <si>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</si>
  <si>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</si>
  <si>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</si>
  <si>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</si>
  <si>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</si>
  <si>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</si>
  <si>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</si>
  <si>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</si>
  <si>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</si>
  <si>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</si>
  <si>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</si>
  <si>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</si>
  <si>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</si>
  <si>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</si>
  <si>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</si>
  <si>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</si>
  <si>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</si>
  <si>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</si>
  <si>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</si>
  <si>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</si>
  <si>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</si>
  <si>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</si>
  <si>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</si>
  <si>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</si>
  <si>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</si>
  <si>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</si>
  <si>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</si>
  <si>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</si>
  <si>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</si>
  <si>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</si>
  <si>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</si>
  <si>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</si>
  <si>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</si>
  <si>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</si>
  <si>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</si>
  <si>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</si>
  <si>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</si>
  <si>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</si>
  <si>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</si>
  <si>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</si>
  <si>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</si>
  <si>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</si>
  <si>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</si>
  <si>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</si>
  <si>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</si>
  <si>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</si>
  <si>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</si>
  <si>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</si>
  <si>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</si>
  <si>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</si>
  <si>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</si>
  <si>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</si>
  <si>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</si>
  <si>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</si>
  <si>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</si>
  <si>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</si>
  <si>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</si>
  <si>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</si>
  <si>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</si>
  <si>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</si>
  <si>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</si>
  <si>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</si>
  <si>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</si>
  <si>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</si>
  <si>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</si>
  <si>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</si>
  <si>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</si>
  <si>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</si>
  <si>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</si>
  <si>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</si>
  <si>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</si>
  <si>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</si>
  <si>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</si>
  <si>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</si>
  <si>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</si>
  <si>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</si>
  <si>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</si>
  <si>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</si>
  <si>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</si>
  <si>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</si>
  <si>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</si>
  <si>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</si>
  <si>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</si>
  <si>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</si>
  <si>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</si>
  <si>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</si>
  <si>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</si>
  <si>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</si>
  <si>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</si>
  <si>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</si>
  <si>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</si>
  <si>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</si>
  <si>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</si>
  <si>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</si>
  <si>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</si>
  <si>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</si>
  <si>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</si>
  <si>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</si>
  <si>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</si>
  <si>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</si>
  <si>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</si>
  <si>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</si>
  <si>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</si>
  <si>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</si>
  <si>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</si>
  <si>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</si>
  <si>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</si>
  <si>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</si>
  <si>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</si>
  <si>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</si>
  <si>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</si>
  <si>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</si>
  <si>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</si>
  <si>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</si>
  <si>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</si>
  <si>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</si>
  <si>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</si>
  <si>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</si>
  <si>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</si>
  <si>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</si>
  <si>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</si>
  <si>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</si>
  <si>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</si>
  <si>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</si>
  <si>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</si>
  <si>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</si>
  <si>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</si>
  <si>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</si>
  <si>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</si>
  <si>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</si>
  <si>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</si>
  <si>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</si>
  <si>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</si>
  <si>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</si>
  <si>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</si>
  <si>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</si>
  <si>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</si>
  <si>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</si>
  <si>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</si>
  <si>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</si>
  <si>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</si>
  <si>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</si>
  <si>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</si>
  <si>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</si>
  <si>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</si>
  <si>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</si>
  <si>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</si>
  <si>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</si>
  <si>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</si>
  <si>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</si>
  <si>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</si>
  <si>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</si>
  <si>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</si>
  <si>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</si>
  <si>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</si>
  <si>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</si>
  <si>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</si>
  <si>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</si>
  <si>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</si>
  <si>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</si>
  <si>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</si>
  <si>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</si>
  <si>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</si>
  <si>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</si>
  <si>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</si>
  <si>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</si>
  <si>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</si>
  <si>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</si>
  <si>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</si>
  <si>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</si>
  <si>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</si>
  <si>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</si>
  <si>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</si>
  <si>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</si>
  <si>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</si>
  <si>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</si>
  <si>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</si>
  <si>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</si>
  <si>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</si>
  <si>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</si>
  <si>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</si>
  <si>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</si>
  <si>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</si>
  <si>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</si>
  <si>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</si>
  <si>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</si>
  <si>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</si>
  <si>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</si>
  <si>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</si>
  <si>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</si>
  <si>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</si>
  <si>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</si>
  <si>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</si>
  <si>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</si>
  <si>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</si>
  <si>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</si>
  <si>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</si>
  <si>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</si>
  <si>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</si>
  <si>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</si>
  <si>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</si>
  <si>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</si>
  <si>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</si>
  <si>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</si>
  <si>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</si>
  <si>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</si>
  <si>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</si>
  <si>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</si>
  <si>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</si>
  <si>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</si>
  <si>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</si>
  <si>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</si>
  <si>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</si>
  <si>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</si>
  <si>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</si>
  <si>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</si>
  <si>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</si>
  <si>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</si>
  <si>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</si>
  <si>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</si>
  <si>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</si>
  <si>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</si>
  <si>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</si>
  <si>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</si>
  <si>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</si>
  <si>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</si>
  <si>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</si>
  <si>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</si>
  <si>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</si>
  <si>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</si>
  <si>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</si>
  <si>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</si>
  <si>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</si>
  <si>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</si>
  <si>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</si>
  <si>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</si>
  <si>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</si>
  <si>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</si>
  <si>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</si>
  <si>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</si>
  <si>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</si>
  <si>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</si>
  <si>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</si>
  <si>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</si>
  <si>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</si>
  <si>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</si>
  <si>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</si>
  <si>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</si>
  <si>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</si>
  <si>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</si>
  <si>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</si>
  <si>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</si>
  <si>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</si>
  <si>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</si>
  <si>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</si>
  <si>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</si>
  <si>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</si>
  <si>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</si>
  <si>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</si>
  <si>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</si>
  <si>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</si>
  <si>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</si>
  <si>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</si>
  <si>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</si>
  <si>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</si>
  <si>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</si>
  <si>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</si>
  <si>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</si>
  <si>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</si>
  <si>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</si>
  <si>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</si>
  <si>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</si>
  <si>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</si>
  <si>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</si>
  <si>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</si>
  <si>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</si>
  <si>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</si>
  <si>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</si>
  <si>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</si>
  <si>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</si>
  <si>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</si>
  <si>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</si>
  <si>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</si>
  <si>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</si>
  <si>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</si>
  <si>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</si>
  <si>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</si>
  <si>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</si>
  <si>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</si>
  <si>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</si>
  <si>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</si>
  <si>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</si>
  <si>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</si>
  <si>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</si>
  <si>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</si>
  <si>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</si>
  <si>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</si>
  <si>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</si>
  <si>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</si>
  <si>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</si>
  <si>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</si>
  <si>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</si>
  <si>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</si>
  <si>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</si>
  <si>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</si>
  <si>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</si>
  <si>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</si>
  <si>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</si>
  <si>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</si>
  <si>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</si>
  <si>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</si>
  <si>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</si>
  <si>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</si>
  <si>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</si>
  <si>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</si>
  <si>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</si>
  <si>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</si>
  <si>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</si>
  <si>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</si>
  <si>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</si>
  <si>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</si>
  <si>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</si>
  <si>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</si>
  <si>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</si>
  <si>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</si>
  <si>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</si>
  <si>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</si>
  <si>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</si>
  <si>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</si>
  <si>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</si>
  <si>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</si>
  <si>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</si>
  <si>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</si>
  <si>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</si>
  <si>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</si>
  <si>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</si>
  <si>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</si>
  <si>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</si>
  <si>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</si>
  <si>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</si>
  <si>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</si>
  <si>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</si>
  <si>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</si>
  <si>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</si>
  <si>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</si>
  <si>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</si>
  <si>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</si>
  <si>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</si>
  <si>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</si>
  <si>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</si>
  <si>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</si>
  <si>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</si>
  <si>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</si>
  <si>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</si>
  <si>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</si>
  <si>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</si>
  <si>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</si>
  <si>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</si>
  <si>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</si>
  <si>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</si>
  <si>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</si>
  <si>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</si>
  <si>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</si>
  <si>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</si>
  <si>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</si>
  <si>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</si>
  <si>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</si>
  <si>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</si>
  <si>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</si>
  <si>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</si>
  <si>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</si>
  <si>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</si>
  <si>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</si>
  <si>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</si>
  <si>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</si>
  <si>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</si>
  <si>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</si>
  <si>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</si>
  <si>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</si>
  <si>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</si>
  <si>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</si>
  <si>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</si>
  <si>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</si>
  <si>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</si>
  <si>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</si>
  <si>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</si>
  <si>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</si>
  <si>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</si>
  <si>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</si>
  <si>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</si>
  <si>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</si>
  <si>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</si>
  <si>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</si>
  <si>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</si>
  <si>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</si>
  <si>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</si>
  <si>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</si>
  <si>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</si>
  <si>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</si>
  <si>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</si>
  <si>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</si>
  <si>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</si>
  <si>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</si>
  <si>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</si>
  <si>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</si>
  <si>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</si>
  <si>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</si>
  <si>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</si>
  <si>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</si>
  <si>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</si>
  <si>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</si>
  <si>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</si>
  <si>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</si>
  <si>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</si>
  <si>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</si>
  <si>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</si>
  <si>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</si>
  <si>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</si>
  <si>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</si>
  <si>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</si>
  <si>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</si>
  <si>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</si>
  <si>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</si>
  <si>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</si>
  <si>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</si>
  <si>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</si>
  <si>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</si>
  <si>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</si>
  <si>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</si>
  <si>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</si>
  <si>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</si>
  <si>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</si>
  <si>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</si>
  <si>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</si>
  <si>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</si>
  <si>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</si>
  <si>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</si>
  <si>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</si>
  <si>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</si>
  <si>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</si>
  <si>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</si>
  <si>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</si>
  <si>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</si>
  <si>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</si>
  <si>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</si>
  <si>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</si>
  <si>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</si>
  <si>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</si>
  <si>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</si>
  <si>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</si>
  <si>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</si>
  <si>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</si>
  <si>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</si>
  <si>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</si>
  <si>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</si>
  <si>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</si>
  <si>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</si>
  <si>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</si>
  <si>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</si>
  <si>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</si>
  <si>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</si>
  <si>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</si>
  <si>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</si>
  <si>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</si>
  <si>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</si>
  <si>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</si>
  <si>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</si>
  <si>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</si>
  <si>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</si>
  <si>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</si>
  <si>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</si>
  <si>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</si>
  <si>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</si>
  <si>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</si>
  <si>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</si>
  <si>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</si>
  <si>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</si>
  <si>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</si>
  <si>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</si>
  <si>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</si>
  <si>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</si>
  <si>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</si>
  <si>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</si>
  <si>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</si>
  <si>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</si>
  <si>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</si>
  <si>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</si>
  <si>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</si>
  <si>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</si>
  <si>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</si>
  <si>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</si>
  <si>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</si>
  <si>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</si>
  <si>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</si>
  <si>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</si>
  <si>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</si>
  <si>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</si>
  <si>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</si>
  <si>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</si>
  <si>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</si>
  <si>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</si>
  <si>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</si>
  <si>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</si>
  <si>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</si>
  <si>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</si>
  <si>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</si>
  <si>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</si>
  <si>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</si>
  <si>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</si>
  <si>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</si>
  <si>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</si>
  <si>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</si>
  <si>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</si>
  <si>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</si>
  <si>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</si>
  <si>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</si>
  <si>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</si>
  <si>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</si>
  <si>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</si>
  <si>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</si>
  <si>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</si>
  <si>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</si>
  <si>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</si>
  <si>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</si>
  <si>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</si>
  <si>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</si>
  <si>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</si>
  <si>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</si>
  <si>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</si>
  <si>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</si>
  <si>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</si>
  <si>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</si>
  <si>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</si>
  <si>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</si>
  <si>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</si>
  <si>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</si>
  <si>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</si>
  <si>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</si>
  <si>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</si>
  <si>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</si>
  <si>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</si>
  <si>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</si>
  <si>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</si>
  <si>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</si>
  <si>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</si>
  <si>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</si>
  <si>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</si>
  <si>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</si>
  <si>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</si>
  <si>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</si>
  <si>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</si>
  <si>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</si>
  <si>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</si>
  <si>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</si>
  <si>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</si>
  <si>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</si>
  <si>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</si>
  <si>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</si>
  <si>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</si>
  <si>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</si>
  <si>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</si>
  <si>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</si>
  <si>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</si>
  <si>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</si>
  <si>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</si>
  <si>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</si>
  <si>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</si>
  <si>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</si>
  <si>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</si>
  <si>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</si>
  <si>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</si>
  <si>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</si>
  <si>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</si>
  <si>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</si>
  <si>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</si>
  <si>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</si>
  <si>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</si>
  <si>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</si>
  <si>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</si>
  <si>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</si>
  <si>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</si>
  <si>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</si>
  <si>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</si>
  <si>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</si>
  <si>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</si>
  <si>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</si>
  <si>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</si>
  <si>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</si>
  <si>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</si>
  <si>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</si>
  <si>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</si>
  <si>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</si>
  <si>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</si>
  <si>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</si>
  <si>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</si>
  <si>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</si>
  <si>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</si>
  <si>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</si>
  <si>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</si>
  <si>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</si>
  <si>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</si>
  <si>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</si>
  <si>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</si>
  <si>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</si>
  <si>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</si>
  <si>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</si>
  <si>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</si>
  <si>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</si>
  <si>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</si>
  <si>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</si>
  <si>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</si>
  <si>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</si>
  <si>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</si>
  <si>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</si>
  <si>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</si>
  <si>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</si>
  <si>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</si>
  <si>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</si>
  <si>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</si>
  <si>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</si>
  <si>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</si>
  <si>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</si>
  <si>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</si>
  <si>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</si>
  <si>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</si>
  <si>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</si>
  <si>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</si>
  <si>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</si>
  <si>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</si>
  <si>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</si>
  <si>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</si>
  <si>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</si>
  <si>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</si>
  <si>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</si>
  <si>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</si>
  <si>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</si>
  <si>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</si>
  <si>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</si>
  <si>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</si>
  <si>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</si>
  <si>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</si>
  <si>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</si>
  <si>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</si>
  <si>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</si>
  <si>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</si>
  <si>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</si>
  <si>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</si>
  <si>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</si>
  <si>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</si>
  <si>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</si>
  <si>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</si>
  <si>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</si>
  <si>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</si>
  <si>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</si>
  <si>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</si>
  <si>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</si>
  <si>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</si>
  <si>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</si>
  <si>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</si>
  <si>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</si>
  <si>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</si>
  <si>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</si>
  <si>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</si>
  <si>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</si>
  <si>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</si>
  <si>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</si>
  <si>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</si>
  <si>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</si>
  <si>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</si>
  <si>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</si>
  <si>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</si>
  <si>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</si>
  <si>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</si>
  <si>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</si>
  <si>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</si>
  <si>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</si>
  <si>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</si>
  <si>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</si>
  <si>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</si>
  <si>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</si>
  <si>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</si>
  <si>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</si>
  <si>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</si>
  <si>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</si>
  <si>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</si>
  <si>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</si>
  <si>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</si>
  <si>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</si>
  <si>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</si>
  <si>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</si>
  <si>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</si>
  <si>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</si>
  <si>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</si>
  <si>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</si>
  <si>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</si>
  <si>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</si>
  <si>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</si>
  <si>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</si>
  <si>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</si>
  <si>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</si>
  <si>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</si>
  <si>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</si>
  <si>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</si>
  <si>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</si>
  <si>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</si>
  <si>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</si>
  <si>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</si>
  <si>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</si>
  <si>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</si>
  <si>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</si>
  <si>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</si>
  <si>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</si>
  <si>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</si>
  <si>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</si>
  <si>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</si>
  <si>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</si>
  <si>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</si>
  <si>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</si>
  <si>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</si>
  <si>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</si>
  <si>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</si>
  <si>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</si>
  <si>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</si>
  <si>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</si>
  <si>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</si>
  <si>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</si>
  <si>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</si>
  <si>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</si>
  <si>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</si>
  <si>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</si>
  <si>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</si>
  <si>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</si>
  <si>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</si>
  <si>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</si>
  <si>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</si>
  <si>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</si>
  <si>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</si>
  <si>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</si>
  <si>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</si>
  <si>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</si>
  <si>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</si>
  <si>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</si>
  <si>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</si>
  <si>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</si>
  <si>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</si>
  <si>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</si>
  <si>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</si>
  <si>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</si>
  <si>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</si>
  <si>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</si>
  <si>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</si>
  <si>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</si>
  <si>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</si>
  <si>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</si>
  <si>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</si>
  <si>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</si>
  <si>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</si>
  <si>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</si>
  <si>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</si>
  <si>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</si>
  <si>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</si>
  <si>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</si>
  <si>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</si>
  <si>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</si>
  <si>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</si>
  <si>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</si>
  <si>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</si>
  <si>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</si>
  <si>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</si>
  <si>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</si>
  <si>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</si>
  <si>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</si>
  <si>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</si>
  <si>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</si>
  <si>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</si>
  <si>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</si>
  <si>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</si>
  <si>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</si>
  <si>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</si>
  <si>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</si>
  <si>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</si>
  <si>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</si>
  <si>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</si>
  <si>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</si>
  <si>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</si>
  <si>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</si>
  <si>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</si>
  <si>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</si>
  <si>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</si>
  <si>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</si>
  <si>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</si>
  <si>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</si>
  <si>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</si>
  <si>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</si>
  <si>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</si>
  <si>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</si>
  <si>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</si>
  <si>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</si>
  <si>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</si>
  <si>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</si>
  <si>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</si>
  <si>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</si>
  <si>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</si>
  <si>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</si>
  <si>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</si>
  <si>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</si>
  <si>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</si>
  <si>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</si>
  <si>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</si>
  <si>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</si>
  <si>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</si>
  <si>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</si>
  <si>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</si>
  <si>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</si>
  <si>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</si>
  <si>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</si>
  <si>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</si>
  <si>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</si>
  <si>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</si>
  <si>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</si>
  <si>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</si>
  <si>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</si>
  <si>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</si>
  <si>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</si>
  <si>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</si>
  <si>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</si>
  <si>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</si>
  <si>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</si>
  <si>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</si>
  <si>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</si>
  <si>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</si>
  <si>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</si>
  <si>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</si>
  <si>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</si>
  <si>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</si>
  <si>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</si>
  <si>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</si>
  <si>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</si>
  <si>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</si>
  <si>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</si>
  <si>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</si>
  <si>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</si>
  <si>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</si>
  <si>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</si>
  <si>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</si>
  <si>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</si>
  <si>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</si>
  <si>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</si>
  <si>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</si>
  <si>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</si>
  <si>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</si>
  <si>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</si>
  <si>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</si>
  <si>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</si>
  <si>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</si>
  <si>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</si>
  <si>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</si>
  <si>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</si>
  <si>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</si>
  <si>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</si>
  <si>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</si>
  <si>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</si>
  <si>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</si>
  <si>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</si>
  <si>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</si>
  <si>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</si>
  <si>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</si>
  <si>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</si>
  <si>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</si>
  <si>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</si>
  <si>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</si>
  <si>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</si>
  <si>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</si>
  <si>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</si>
  <si>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</si>
  <si>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</si>
  <si>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</si>
  <si>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</si>
  <si>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</si>
  <si>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</si>
  <si>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</si>
  <si>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</si>
  <si>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</si>
  <si>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</si>
  <si>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</si>
  <si>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</si>
  <si>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</si>
  <si>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</si>
  <si>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</si>
  <si>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</si>
  <si>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</si>
  <si>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</si>
  <si>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</si>
  <si>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</si>
  <si>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</si>
  <si>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</si>
  <si>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</si>
  <si>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</si>
  <si>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</si>
  <si>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</si>
  <si>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</si>
  <si>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</si>
  <si>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</si>
  <si>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</si>
  <si>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</si>
  <si>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</si>
  <si>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</si>
  <si>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</si>
  <si>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</si>
  <si>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</si>
  <si>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</si>
  <si>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</si>
  <si>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</si>
  <si>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</si>
  <si>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</si>
  <si>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</si>
  <si>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</si>
  <si>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</si>
  <si>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</si>
  <si>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</si>
  <si>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</si>
  <si>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</si>
  <si>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</si>
  <si>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</si>
  <si>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</si>
  <si>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</si>
  <si>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</si>
  <si>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</si>
  <si>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</si>
  <si>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</si>
  <si>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</si>
  <si>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</si>
  <si>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</si>
  <si>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</si>
  <si>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</si>
  <si>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</si>
  <si>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</si>
  <si>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</si>
  <si>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</si>
  <si>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</si>
  <si>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</si>
  <si>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</si>
  <si>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</si>
  <si>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</si>
  <si>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</si>
  <si>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</si>
  <si>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</si>
  <si>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</si>
  <si>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</si>
  <si>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</si>
  <si>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</si>
  <si>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</si>
  <si>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</si>
  <si>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</si>
  <si>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</si>
  <si>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</si>
  <si>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</si>
  <si>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</si>
  <si>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</si>
  <si>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</si>
  <si>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</si>
  <si>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</si>
  <si>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</si>
  <si>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</si>
  <si>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</si>
  <si>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</si>
  <si>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</si>
  <si>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</si>
  <si>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</si>
  <si>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</si>
  <si>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</si>
  <si>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</si>
  <si>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</si>
  <si>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</si>
  <si>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</si>
  <si>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</si>
  <si>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</si>
  <si>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</si>
  <si>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</si>
  <si>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</si>
  <si>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</si>
  <si>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</si>
  <si>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</si>
  <si>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</si>
  <si>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</si>
  <si>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</si>
  <si>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</si>
  <si>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</si>
  <si>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</si>
  <si>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</si>
  <si>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</si>
  <si>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</si>
  <si>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</si>
  <si>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</si>
  <si>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</si>
  <si>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</si>
  <si>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</si>
  <si>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</si>
  <si>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</si>
  <si>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</si>
  <si>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</si>
  <si>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</si>
  <si>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</si>
  <si>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</si>
  <si>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</si>
  <si>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</si>
  <si>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</si>
  <si>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</si>
  <si>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</si>
  <si>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</si>
  <si>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</si>
  <si>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</si>
  <si>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</si>
  <si>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</si>
  <si>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</si>
  <si>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</si>
  <si>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</si>
  <si>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</si>
  <si>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</si>
  <si>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</si>
  <si>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</si>
  <si>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</si>
  <si>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</si>
  <si>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</si>
  <si>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</si>
  <si>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</si>
  <si>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</si>
  <si>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</si>
  <si>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</si>
  <si>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</si>
  <si>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</si>
  <si>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</si>
  <si>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</si>
  <si>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</si>
  <si>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</si>
  <si>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</si>
  <si>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</si>
  <si>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</si>
  <si>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</si>
  <si>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</si>
  <si>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</si>
  <si>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</si>
  <si>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</si>
  <si>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</si>
  <si>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</si>
  <si>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</si>
  <si>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</si>
  <si>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</si>
  <si>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</si>
  <si>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</si>
  <si>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</si>
  <si>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</si>
  <si>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</si>
  <si>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</si>
  <si>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</si>
  <si>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</si>
  <si>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</si>
  <si>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</si>
  <si>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</si>
  <si>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</si>
  <si>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</si>
  <si>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</si>
  <si>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</si>
  <si>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</si>
  <si>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</si>
  <si>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</si>
  <si>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</si>
  <si>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</si>
  <si>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</si>
  <si>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</si>
  <si>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</si>
  <si>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</si>
  <si>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</si>
  <si>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</si>
  <si>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</si>
  <si>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</si>
  <si>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</si>
  <si>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</si>
  <si>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</si>
  <si>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</si>
  <si>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</si>
  <si>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</si>
  <si>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</si>
  <si>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</si>
  <si>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</si>
  <si>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</si>
  <si>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</si>
  <si>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</si>
  <si>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</si>
  <si>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</si>
  <si>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</si>
  <si>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</si>
  <si>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</si>
  <si>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</si>
  <si>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</si>
  <si>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</si>
  <si>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</si>
  <si>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</si>
  <si>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</si>
  <si>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</si>
  <si>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</si>
  <si>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</si>
  <si>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</si>
  <si>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</si>
  <si>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</si>
  <si>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</si>
  <si>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</si>
  <si>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</si>
  <si>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</si>
  <si>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</si>
  <si>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</si>
  <si>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</si>
  <si>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</si>
  <si>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</si>
  <si>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</si>
  <si>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</si>
  <si>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</si>
  <si>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</si>
  <si>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</si>
  <si>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</si>
  <si>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</si>
  <si>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</si>
  <si>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</si>
  <si>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</si>
  <si>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</si>
  <si>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</si>
  <si>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</si>
  <si>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</si>
  <si>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</si>
  <si>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</si>
  <si>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</si>
  <si>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</si>
  <si>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</si>
  <si>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</si>
  <si>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</si>
  <si>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</si>
  <si>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</si>
  <si>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</si>
  <si>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</si>
  <si>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</si>
  <si>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</si>
  <si>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</si>
  <si>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</si>
  <si>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</si>
  <si>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</si>
  <si>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</si>
  <si>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</si>
  <si>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</si>
  <si>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</si>
  <si>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</si>
  <si>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</si>
  <si>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</si>
  <si>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</si>
  <si>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</si>
  <si>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</si>
  <si>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</si>
  <si>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</si>
  <si>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</si>
  <si>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</si>
  <si>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</si>
  <si>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</si>
  <si>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</si>
  <si>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</si>
  <si>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</si>
  <si>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</si>
  <si>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</si>
  <si>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</si>
  <si>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</si>
  <si>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</si>
  <si>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</si>
  <si>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</si>
  <si>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</si>
  <si>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</si>
  <si>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</si>
  <si>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</si>
  <si>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</si>
  <si>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</si>
  <si>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</si>
  <si>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</si>
  <si>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</si>
  <si>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</si>
  <si>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</si>
  <si>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</si>
  <si>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</si>
  <si>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</si>
  <si>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</si>
  <si>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</si>
  <si>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</si>
  <si>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</si>
  <si>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</si>
  <si>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</si>
  <si>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</si>
  <si>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</si>
  <si>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</si>
  <si>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</si>
  <si>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</si>
  <si>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</si>
  <si>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</si>
  <si>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</si>
  <si>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</si>
  <si>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</si>
  <si>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</si>
  <si>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</si>
  <si>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</si>
  <si>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</si>
  <si>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</si>
  <si>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</si>
  <si>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</si>
  <si>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</si>
  <si>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</si>
  <si>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</si>
  <si>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</si>
  <si>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</si>
  <si>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</si>
  <si>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</si>
  <si>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</si>
  <si>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</si>
  <si>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</si>
  <si>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</si>
  <si>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</si>
  <si>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</si>
  <si>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</si>
  <si>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</si>
  <si>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</si>
  <si>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</si>
  <si>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</si>
  <si>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</si>
  <si>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</si>
  <si>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</si>
  <si>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</si>
  <si>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</si>
  <si>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</si>
  <si>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</si>
  <si>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</si>
  <si>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</si>
  <si>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</si>
  <si>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</si>
  <si>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</si>
  <si>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</si>
  <si>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</si>
  <si>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</si>
  <si>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</si>
  <si>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</si>
  <si>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</si>
  <si>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</si>
  <si>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</si>
  <si>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</si>
  <si>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</si>
  <si>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</si>
  <si>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</si>
  <si>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</si>
  <si>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</si>
  <si>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</si>
  <si>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</si>
  <si>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</si>
  <si>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</si>
  <si>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</si>
  <si>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</si>
  <si>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</si>
  <si>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</si>
  <si>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</si>
  <si>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</si>
  <si>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</si>
  <si>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</si>
  <si>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</si>
  <si>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</si>
  <si>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</si>
  <si>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</si>
  <si>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</si>
  <si>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</si>
  <si>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</si>
  <si>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</si>
  <si>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</si>
  <si>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</si>
  <si>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</si>
  <si>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</si>
  <si>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</si>
  <si>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</si>
  <si>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</si>
  <si>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</si>
  <si>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</si>
  <si>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</si>
  <si>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</si>
  <si>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</si>
  <si>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</si>
  <si>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</si>
  <si>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</si>
  <si>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</si>
  <si>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</si>
  <si>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</si>
  <si>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</si>
  <si>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</si>
  <si>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</si>
  <si>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</si>
  <si>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</si>
  <si>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</si>
  <si>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</si>
  <si>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</si>
  <si>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</si>
  <si>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</si>
  <si>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</si>
  <si>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</si>
  <si>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</si>
  <si>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</si>
  <si>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</si>
  <si>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</si>
  <si>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</si>
  <si>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</si>
  <si>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</si>
  <si>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</si>
  <si>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</si>
  <si>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</si>
  <si>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</si>
  <si>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</si>
  <si>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</si>
  <si>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</si>
  <si>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</si>
  <si>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</si>
  <si>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</si>
  <si>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</si>
  <si>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</si>
  <si>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</si>
  <si>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</si>
  <si>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</si>
  <si>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</si>
  <si>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</si>
  <si>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</si>
  <si>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</si>
  <si>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</si>
  <si>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</si>
  <si>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</si>
  <si>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</si>
  <si>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</si>
  <si>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</si>
  <si>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</si>
  <si>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</si>
  <si>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</si>
  <si>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</si>
  <si>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</si>
  <si>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</si>
  <si>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</si>
  <si>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</si>
  <si>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</si>
  <si>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</si>
  <si>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</si>
  <si>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</si>
  <si>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</si>
  <si>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</si>
  <si>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</si>
  <si>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</si>
  <si>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</si>
  <si>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</si>
  <si>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</si>
  <si>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</si>
  <si>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</si>
  <si>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</si>
  <si>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</si>
  <si>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</si>
  <si>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</si>
  <si>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</si>
  <si>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</si>
  <si>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</si>
  <si>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</si>
  <si>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</si>
  <si>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</si>
  <si>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</si>
  <si>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</si>
  <si>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</si>
  <si>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</si>
  <si>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</si>
  <si>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</si>
  <si>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</si>
  <si>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</si>
  <si>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</si>
  <si>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</si>
  <si>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</si>
  <si>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</si>
  <si>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</si>
  <si>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</si>
  <si>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</si>
  <si>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</si>
  <si>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</si>
  <si>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</si>
  <si>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</si>
  <si>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</si>
  <si>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</si>
  <si>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</si>
  <si>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</si>
  <si>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</si>
  <si>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</si>
  <si>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</si>
  <si>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</si>
  <si>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</si>
  <si>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</si>
  <si>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</si>
  <si>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</si>
  <si>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</si>
  <si>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</si>
  <si>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</si>
  <si>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</si>
  <si>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</si>
  <si>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</si>
  <si>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</si>
  <si>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</si>
  <si>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</si>
  <si>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</si>
  <si>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</si>
  <si>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</si>
  <si>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</si>
  <si>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</si>
  <si>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</si>
  <si>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</si>
  <si>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</si>
  <si>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</si>
  <si>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</si>
  <si>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</si>
  <si>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</si>
  <si>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</si>
  <si>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</si>
  <si>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</si>
  <si>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</si>
  <si>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</si>
  <si>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</si>
  <si>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</si>
  <si>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</si>
  <si>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</si>
  <si>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</si>
  <si>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</si>
  <si>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</si>
  <si>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</si>
  <si>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</si>
  <si>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</si>
  <si>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</si>
  <si>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</si>
  <si>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</si>
  <si>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</si>
  <si>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</si>
  <si>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</si>
  <si>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</si>
  <si>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</si>
  <si>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</si>
  <si>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</si>
  <si>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</si>
  <si>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</si>
  <si>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</si>
  <si>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</si>
  <si>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</si>
  <si>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</si>
  <si>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</si>
  <si>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</si>
  <si>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</si>
  <si>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</si>
  <si>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</si>
  <si>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</si>
  <si>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</si>
  <si>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</si>
  <si>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</si>
  <si>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</si>
  <si>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</si>
  <si>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</si>
  <si>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</si>
  <si>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</si>
  <si>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</si>
  <si>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</si>
  <si>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</si>
  <si>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</si>
  <si>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</si>
  <si>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</si>
  <si>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</si>
  <si>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</si>
  <si>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</si>
  <si>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</si>
  <si>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</si>
  <si>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</si>
  <si>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</si>
  <si>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</si>
  <si>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</si>
  <si>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</si>
  <si>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</si>
  <si>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</si>
  <si>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</si>
  <si>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</si>
  <si>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</si>
  <si>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</si>
  <si>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</si>
  <si>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</si>
  <si>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</si>
  <si>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</si>
  <si>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</si>
  <si>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</si>
  <si>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</si>
  <si>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</si>
  <si>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</si>
  <si>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</si>
  <si>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</si>
  <si>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</si>
  <si>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</si>
  <si>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</si>
  <si>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</si>
  <si>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</si>
  <si>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</si>
  <si>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</si>
  <si>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</si>
  <si>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</si>
  <si>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</si>
  <si>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</si>
  <si>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</si>
  <si>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</si>
  <si>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</si>
  <si>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</si>
  <si>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</si>
  <si>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</si>
  <si>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</si>
  <si>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</si>
  <si>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</si>
  <si>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</si>
  <si>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</si>
  <si>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</si>
  <si>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</si>
  <si>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</si>
  <si>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</si>
  <si>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</si>
  <si>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</si>
  <si>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</si>
  <si>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</si>
  <si>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</si>
  <si>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</si>
  <si>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</si>
  <si>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</si>
  <si>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</si>
  <si>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</si>
  <si>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</si>
  <si>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</si>
  <si>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</si>
  <si>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</si>
  <si>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</si>
  <si>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</si>
  <si>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</si>
  <si>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</si>
  <si>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</si>
  <si>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</si>
  <si>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</si>
  <si>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</si>
  <si>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</si>
  <si>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</si>
  <si>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</si>
  <si>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</si>
  <si>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</si>
  <si>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</si>
  <si>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</si>
  <si>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</si>
  <si>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</si>
  <si>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</si>
  <si>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</si>
  <si>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</si>
  <si>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</si>
  <si>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</si>
  <si>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</si>
  <si>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</si>
  <si>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</si>
  <si>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</si>
  <si>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</si>
  <si>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</si>
  <si>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</si>
  <si>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</si>
  <si>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</si>
  <si>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</si>
  <si>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</si>
  <si>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</si>
  <si>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</si>
  <si>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</si>
  <si>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</si>
  <si>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</si>
  <si>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</si>
  <si>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</si>
  <si>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</si>
  <si>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</si>
  <si>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</si>
  <si>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</si>
  <si>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</si>
  <si>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</si>
  <si>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</si>
  <si>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</si>
  <si>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</si>
  <si>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</si>
  <si>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</si>
  <si>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</si>
  <si>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</si>
  <si>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</si>
  <si>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</si>
  <si>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</si>
  <si>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</si>
  <si>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</si>
  <si>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</si>
  <si>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</si>
  <si>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</si>
  <si>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</si>
  <si>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</si>
  <si>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</si>
  <si>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</si>
  <si>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</si>
  <si>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</si>
  <si>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</si>
  <si>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</si>
  <si>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</si>
  <si>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</si>
  <si>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</si>
  <si>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</si>
  <si>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</si>
  <si>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</si>
  <si>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</si>
  <si>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</si>
  <si>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</si>
  <si>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</si>
  <si>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</si>
  <si>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</si>
  <si>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</si>
  <si>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</si>
  <si>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</si>
  <si>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</si>
  <si>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</si>
  <si>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</si>
  <si>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</si>
  <si>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</si>
  <si>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</si>
  <si>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</si>
  <si>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</si>
  <si>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</si>
  <si>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</si>
  <si>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</si>
  <si>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</si>
  <si>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</si>
  <si>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</si>
  <si>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</si>
  <si>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</si>
  <si>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</si>
  <si>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</si>
  <si>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</si>
  <si>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</si>
  <si>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</si>
  <si>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</si>
  <si>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</si>
  <si>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</si>
  <si>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</si>
  <si>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</si>
  <si>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</si>
  <si>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</si>
  <si>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</si>
  <si>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</si>
  <si>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</si>
  <si>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</si>
  <si>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</si>
  <si>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</si>
  <si>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</si>
  <si>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</si>
  <si>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</si>
  <si>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</si>
  <si>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</si>
  <si>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</si>
  <si>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</si>
  <si>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</si>
  <si>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</si>
  <si>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</si>
  <si>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</si>
  <si>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</si>
  <si>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</si>
  <si>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</si>
  <si>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</si>
  <si>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</si>
  <si>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</si>
  <si>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</si>
  <si>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</si>
  <si>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</si>
  <si>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</si>
  <si>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</si>
  <si>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</si>
  <si>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</si>
  <si>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</si>
  <si>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</si>
  <si>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</si>
  <si>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</si>
  <si>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</si>
  <si>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</si>
  <si>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</si>
  <si>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</si>
  <si>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</si>
  <si>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</si>
  <si>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</si>
  <si>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</si>
  <si>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</si>
  <si>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</si>
  <si>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</si>
  <si>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</si>
  <si>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</si>
  <si>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</si>
  <si>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</si>
  <si>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</si>
  <si>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</si>
  <si>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</si>
  <si>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</si>
  <si>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</si>
  <si>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</si>
  <si>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</si>
  <si>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</si>
  <si>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</si>
  <si>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</si>
  <si>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</si>
  <si>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</si>
  <si>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</si>
  <si>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</si>
  <si>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</si>
  <si>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</si>
  <si>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</si>
  <si>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</si>
  <si>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</si>
  <si>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</si>
  <si>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</si>
  <si>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</si>
  <si>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</si>
  <si>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</si>
  <si>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</si>
  <si>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</si>
  <si>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</si>
  <si>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</si>
  <si>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</si>
  <si>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</si>
  <si>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</si>
  <si>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</si>
  <si>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</si>
  <si>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</si>
  <si>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</si>
  <si>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</si>
  <si>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</si>
  <si>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</si>
  <si>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</si>
  <si>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</si>
  <si>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</si>
  <si>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</si>
  <si>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</si>
  <si>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</si>
  <si>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</si>
  <si>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</si>
  <si>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</si>
  <si>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</si>
  <si>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</si>
  <si>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</si>
  <si>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</si>
  <si>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</si>
  <si>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</si>
  <si>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</si>
  <si>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</si>
  <si>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</si>
  <si>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</si>
  <si>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</si>
  <si>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</si>
  <si>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</si>
  <si>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</si>
  <si>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</si>
  <si>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</si>
  <si>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</si>
  <si>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</si>
  <si>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</si>
  <si>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</si>
  <si>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</si>
  <si>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</si>
  <si>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</si>
  <si>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</si>
  <si>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</si>
  <si>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</si>
  <si>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</si>
  <si>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</si>
  <si>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</si>
  <si>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</si>
  <si>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</si>
  <si>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</si>
  <si>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</si>
  <si>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</si>
  <si>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</si>
  <si>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</si>
  <si>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</si>
  <si>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</si>
  <si>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</si>
  <si>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</si>
  <si>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</si>
  <si>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</si>
  <si>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</si>
  <si>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</si>
  <si>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</si>
  <si>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</si>
  <si>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</si>
  <si>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</si>
  <si>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</si>
  <si>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</si>
  <si>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</si>
  <si>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</si>
  <si>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</si>
  <si>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</si>
  <si>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</si>
  <si>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</si>
  <si>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</si>
  <si>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</si>
  <si>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</si>
  <si>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</si>
  <si>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</si>
  <si>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</si>
  <si>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</si>
  <si>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</si>
  <si>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</si>
  <si>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</si>
  <si>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</si>
  <si>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</si>
  <si>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</si>
  <si>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</si>
  <si>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</si>
  <si>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</si>
  <si>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</si>
  <si>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</si>
  <si>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</si>
  <si>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</si>
  <si>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</si>
  <si>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</si>
  <si>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</si>
  <si>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</si>
  <si>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</si>
  <si>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</si>
  <si>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</si>
  <si>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</si>
  <si>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</si>
  <si>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</si>
  <si>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</si>
  <si>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</si>
  <si>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</si>
  <si>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</si>
  <si>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</si>
  <si>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</si>
  <si>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</si>
  <si>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</si>
  <si>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</si>
  <si>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</si>
  <si>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</si>
  <si>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</si>
  <si>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</si>
  <si>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</si>
  <si>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</si>
  <si>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</si>
  <si>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</si>
  <si>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</si>
  <si>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</si>
  <si>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</si>
  <si>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</si>
  <si>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</si>
  <si>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</si>
  <si>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</si>
  <si>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</si>
  <si>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</si>
  <si>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</si>
  <si>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</si>
  <si>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</si>
  <si>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</si>
  <si>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</si>
  <si>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</si>
  <si>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</si>
  <si>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</si>
  <si>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</si>
  <si>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</si>
  <si>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</si>
  <si>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</si>
  <si>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</si>
  <si>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</si>
  <si>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</si>
  <si>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</si>
  <si>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</si>
  <si>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</si>
  <si>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</si>
  <si>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</si>
  <si>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</si>
  <si>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</si>
  <si>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</si>
  <si>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</si>
  <si>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</si>
  <si>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</si>
  <si>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</si>
  <si>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</si>
  <si>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</si>
  <si>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</si>
  <si>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</si>
  <si>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</si>
  <si>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</si>
  <si>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</si>
  <si>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</si>
  <si>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</si>
  <si>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</si>
  <si>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</si>
  <si>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</si>
  <si>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</si>
  <si>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</si>
  <si>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</si>
  <si>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</si>
  <si>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</si>
  <si>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</si>
  <si>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</si>
  <si>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</si>
  <si>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</si>
  <si>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</si>
  <si>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</si>
  <si>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</si>
  <si>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</si>
  <si>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</si>
  <si>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</si>
  <si>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</si>
  <si>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</si>
  <si>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</si>
  <si>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</si>
  <si>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</si>
  <si>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</si>
  <si>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</si>
  <si>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</si>
  <si>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</si>
  <si>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</si>
  <si>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</si>
  <si>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</si>
  <si>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</si>
  <si>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</si>
  <si>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</si>
  <si>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</si>
  <si>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</si>
  <si>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</si>
  <si>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</si>
  <si>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</si>
  <si>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</si>
  <si>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</si>
  <si>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</si>
  <si>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</si>
  <si>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</si>
  <si>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</si>
  <si>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</si>
  <si>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</si>
  <si>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</si>
  <si>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</si>
  <si>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</si>
  <si>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</si>
  <si>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</si>
  <si>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</si>
  <si>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</si>
  <si>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</si>
  <si>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</si>
  <si>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</si>
  <si>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</si>
  <si>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</si>
  <si>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</si>
  <si>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</si>
  <si>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</si>
  <si>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</si>
  <si>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</si>
  <si>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</si>
  <si>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</si>
  <si>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</si>
  <si>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</si>
  <si>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</si>
  <si>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</si>
  <si>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</si>
  <si>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</si>
  <si>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</si>
  <si>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</si>
  <si>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</si>
  <si>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</si>
  <si>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</si>
  <si>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</si>
  <si>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</si>
  <si>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</si>
  <si>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</si>
  <si>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</si>
  <si>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</si>
  <si>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</si>
  <si>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</si>
  <si>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</si>
  <si>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</si>
  <si>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</si>
  <si>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</si>
  <si>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</si>
  <si>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</si>
  <si>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</si>
  <si>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</si>
  <si>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</si>
  <si>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</si>
  <si>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</si>
  <si>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</si>
  <si>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</si>
  <si>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</si>
  <si>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</si>
  <si>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</si>
  <si>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</si>
  <si>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</si>
  <si>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</si>
  <si>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</si>
  <si>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</si>
  <si>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</si>
  <si>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</si>
  <si>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</si>
  <si>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</si>
  <si>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</si>
  <si>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</si>
  <si>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</si>
  <si>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</si>
  <si>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</si>
  <si>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</si>
  <si>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</si>
  <si>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</si>
  <si>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</si>
  <si>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</si>
  <si>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</si>
  <si>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</si>
  <si>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</si>
  <si>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</si>
  <si>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</si>
  <si>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</si>
  <si>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</si>
  <si>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</si>
  <si>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</si>
  <si>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</si>
  <si>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</si>
  <si>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</si>
  <si>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</si>
  <si>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</si>
  <si>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</si>
  <si>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</si>
  <si>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</si>
  <si>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</si>
  <si>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</si>
  <si>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</si>
  <si>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</si>
  <si>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</si>
  <si>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</si>
  <si>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</si>
  <si>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</si>
  <si>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</si>
  <si>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</si>
  <si>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</si>
  <si>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</si>
  <si>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</si>
  <si>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</si>
  <si>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</si>
  <si>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</si>
  <si>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</si>
  <si>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</si>
  <si>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</si>
  <si>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</si>
  <si>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</si>
  <si>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</si>
  <si>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</si>
  <si>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</si>
  <si>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</si>
  <si>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</si>
  <si>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</si>
  <si>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</si>
  <si>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</si>
  <si>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</si>
  <si>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</si>
  <si>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</si>
  <si>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</si>
  <si>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</si>
  <si>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</si>
  <si>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</si>
  <si>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</si>
  <si>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</si>
  <si>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</si>
  <si>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</si>
  <si>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</si>
  <si>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</si>
  <si>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</si>
  <si>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</si>
  <si>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</si>
  <si>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</si>
  <si>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</si>
  <si>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</si>
  <si>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</si>
  <si>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</si>
  <si>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</si>
  <si>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</si>
  <si>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</si>
  <si>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</si>
  <si>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</si>
  <si>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</si>
  <si>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</si>
  <si>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</si>
  <si>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</si>
  <si>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</si>
  <si>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</si>
  <si>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</si>
  <si>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</si>
  <si>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</si>
  <si>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</si>
  <si>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</si>
  <si>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</si>
  <si>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</si>
  <si>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</si>
  <si>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</si>
  <si>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</si>
  <si>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</si>
  <si>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</si>
  <si>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</si>
  <si>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</si>
  <si>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</si>
  <si>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</si>
  <si>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</si>
  <si>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</si>
  <si>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</si>
  <si>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</si>
  <si>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</si>
  <si>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</si>
  <si>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</si>
  <si>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</si>
  <si>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</si>
  <si>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</si>
  <si>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</si>
  <si>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</si>
  <si>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</si>
  <si>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</si>
  <si>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</si>
  <si>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</si>
  <si>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</si>
  <si>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</si>
  <si>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</si>
  <si>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</si>
  <si>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</si>
  <si>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</si>
  <si>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</si>
  <si>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</si>
  <si>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</si>
  <si>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</si>
  <si>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</si>
  <si>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</si>
  <si>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</si>
  <si>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</si>
  <si>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</si>
  <si>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</si>
  <si>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</si>
  <si>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</si>
  <si>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</si>
  <si>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</si>
  <si>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</si>
  <si>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</si>
  <si>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</si>
  <si>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</si>
  <si>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</si>
  <si>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</si>
  <si>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</si>
  <si>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</si>
  <si>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</si>
  <si>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</si>
  <si>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</si>
  <si>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</si>
  <si>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</si>
  <si>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</si>
  <si>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</si>
  <si>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</si>
  <si>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</si>
  <si>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</si>
  <si>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</si>
  <si>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</si>
  <si>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</si>
  <si>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</si>
  <si>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</si>
  <si>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</si>
  <si>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</si>
  <si>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</si>
  <si>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</si>
  <si>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</si>
  <si>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</si>
  <si>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</si>
  <si>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</si>
  <si>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</si>
  <si>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</si>
  <si>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</si>
  <si>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</si>
  <si>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</si>
  <si>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</si>
  <si>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</si>
  <si>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</si>
  <si>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</si>
  <si>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</si>
  <si>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</si>
  <si>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</si>
  <si>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</si>
  <si>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</si>
  <si>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</si>
  <si>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</si>
  <si>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</si>
  <si>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</si>
  <si>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</si>
  <si>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</si>
  <si>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</si>
  <si>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</si>
  <si>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</si>
  <si>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</si>
  <si>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</si>
  <si>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</si>
  <si>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</si>
  <si>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</si>
  <si>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</si>
  <si>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</si>
  <si>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</si>
  <si>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</si>
  <si>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</si>
  <si>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</si>
  <si>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</si>
  <si>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</si>
  <si>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</si>
  <si>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</si>
  <si>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</si>
  <si>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</si>
  <si>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</si>
  <si>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</si>
  <si>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</si>
  <si>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</si>
  <si>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</si>
  <si>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</si>
  <si>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</si>
  <si>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</si>
  <si>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</si>
  <si>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</si>
  <si>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</si>
  <si>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</si>
  <si>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</si>
  <si>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</si>
  <si>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</si>
  <si>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</si>
  <si>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</si>
  <si>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</si>
  <si>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</si>
  <si>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</si>
  <si>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</si>
  <si>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</si>
  <si>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</si>
  <si>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</si>
  <si>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</si>
  <si>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</si>
  <si>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</si>
  <si>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</si>
  <si>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</si>
  <si>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</si>
  <si>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</si>
  <si>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</si>
  <si>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</si>
  <si>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</si>
  <si>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</si>
  <si>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</si>
  <si>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</si>
  <si>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</si>
  <si>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</si>
  <si>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</si>
  <si>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</si>
  <si>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</si>
  <si>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</si>
  <si>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</si>
  <si>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</si>
  <si>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</si>
  <si>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</si>
  <si>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</si>
  <si>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</si>
  <si>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</si>
  <si>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</si>
  <si>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</si>
  <si>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</si>
  <si>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</si>
  <si>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</si>
  <si>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</si>
  <si>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</si>
  <si>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</si>
  <si>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</si>
  <si>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</si>
  <si>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</si>
  <si>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</si>
  <si>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</si>
  <si>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</si>
  <si>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</si>
  <si>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</si>
  <si>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</si>
  <si>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</si>
  <si>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</si>
  <si>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</si>
  <si>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</si>
  <si>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</si>
  <si>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</si>
  <si>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</si>
  <si>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</si>
  <si>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</si>
  <si>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</si>
  <si>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</si>
  <si>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</si>
  <si>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</si>
  <si>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</si>
  <si>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</si>
  <si>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</si>
  <si>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</si>
  <si>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</si>
  <si>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</si>
  <si>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</si>
  <si>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</si>
  <si>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</si>
  <si>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</si>
  <si>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</si>
  <si>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</si>
  <si>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</si>
  <si>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</si>
  <si>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</si>
  <si>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</si>
  <si>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</si>
  <si>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</si>
  <si>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</si>
  <si>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</si>
  <si>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</si>
  <si>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</si>
  <si>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</si>
  <si>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</si>
  <si>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</si>
  <si>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</si>
  <si>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</si>
  <si>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</si>
  <si>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</si>
  <si>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</si>
  <si>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</si>
  <si>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</si>
  <si>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</si>
  <si>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</si>
  <si>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</si>
  <si>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</si>
  <si>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</si>
  <si>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</si>
  <si>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</si>
  <si>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</si>
  <si>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</si>
  <si>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</si>
  <si>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</si>
  <si>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</si>
  <si>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</si>
  <si>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</si>
  <si>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</si>
  <si>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</si>
  <si>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</si>
  <si>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</si>
  <si>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</si>
  <si>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</si>
  <si>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</si>
  <si>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</si>
  <si>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</si>
  <si>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</si>
  <si>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</si>
  <si>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</si>
  <si>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</si>
  <si>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</si>
  <si>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</si>
  <si>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</si>
  <si>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</si>
  <si>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</si>
  <si>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</si>
  <si>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</si>
  <si>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</si>
  <si>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</si>
  <si>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</si>
  <si>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</si>
  <si>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</si>
  <si>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</si>
  <si>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</si>
  <si>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</si>
  <si>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</si>
  <si>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</si>
  <si>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</si>
  <si>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</si>
  <si>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</si>
  <si>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</si>
  <si>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</si>
  <si>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</si>
  <si>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</si>
  <si>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</si>
  <si>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</si>
  <si>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</si>
  <si>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</si>
  <si>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</si>
  <si>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</si>
  <si>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</si>
  <si>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</si>
  <si>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</si>
  <si>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</si>
  <si>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</si>
  <si>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</si>
  <si>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</si>
  <si>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</si>
  <si>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</si>
  <si>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</si>
  <si>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</si>
  <si>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</si>
  <si>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</si>
  <si>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</si>
  <si>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</si>
  <si>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</si>
  <si>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</si>
  <si>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</si>
  <si>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</si>
  <si>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</si>
  <si>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</si>
  <si>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</si>
  <si>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</si>
  <si>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</si>
  <si>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</si>
  <si>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</si>
  <si>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</si>
  <si>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</si>
  <si>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</si>
  <si>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</si>
  <si>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</si>
  <si>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</si>
  <si>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</si>
  <si>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</si>
  <si>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</si>
  <si>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</si>
  <si>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</si>
  <si>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</si>
  <si>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</si>
  <si>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</si>
  <si>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</si>
  <si>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</si>
  <si>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</si>
  <si>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</si>
  <si>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</si>
  <si>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</si>
  <si>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</si>
  <si>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</si>
  <si>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</si>
  <si>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</si>
  <si>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</si>
  <si>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</si>
  <si>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</si>
  <si>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</si>
  <si>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</si>
  <si>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</si>
  <si>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</si>
  <si>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</si>
  <si>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</si>
  <si>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</si>
  <si>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</si>
  <si>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</si>
  <si>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</si>
  <si>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</si>
  <si>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</si>
  <si>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</si>
  <si>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</si>
  <si>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</si>
  <si>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</si>
  <si>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</si>
  <si>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</si>
  <si>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</si>
  <si>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</si>
  <si>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</si>
  <si>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</si>
  <si>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</si>
  <si>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</si>
  <si>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</si>
  <si>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</si>
  <si>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</si>
  <si>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</si>
  <si>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</si>
  <si>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</si>
  <si>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</si>
  <si>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</si>
  <si>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</si>
  <si>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</si>
  <si>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</si>
  <si>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</si>
  <si>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</si>
  <si>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</si>
  <si>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</si>
  <si>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</si>
  <si>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</si>
  <si>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</si>
  <si>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</si>
  <si>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</si>
  <si>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</si>
  <si>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</si>
  <si>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</si>
  <si>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</si>
  <si>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</si>
  <si>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</si>
  <si>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</si>
  <si>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</si>
  <si>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</si>
  <si>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</si>
  <si>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</si>
  <si>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</si>
  <si>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</si>
  <si>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</si>
  <si>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</si>
  <si>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</si>
  <si>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</si>
  <si>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</si>
  <si>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</si>
  <si>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</si>
  <si>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</si>
  <si>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</si>
  <si>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</si>
  <si>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</si>
  <si>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</si>
  <si>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</si>
  <si>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</si>
  <si>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</si>
  <si>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</si>
  <si>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</si>
  <si>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</si>
  <si>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</si>
  <si>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</si>
  <si>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</si>
  <si>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</si>
  <si>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</si>
  <si>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</si>
  <si>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</si>
  <si>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</si>
  <si>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</si>
  <si>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</si>
  <si>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</si>
  <si>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</si>
  <si>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</si>
  <si>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</si>
  <si>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</si>
  <si>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</si>
  <si>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</si>
  <si>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</si>
  <si>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</si>
  <si>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</si>
  <si>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</si>
  <si>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</si>
  <si>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</si>
  <si>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</si>
  <si>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</si>
  <si>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</si>
  <si>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</si>
  <si>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</si>
  <si>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</si>
  <si>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</si>
  <si>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</si>
  <si>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</si>
  <si>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</si>
  <si>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</si>
  <si>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</si>
  <si>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</si>
  <si>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</si>
  <si>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</si>
  <si>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</si>
  <si>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</si>
  <si>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</si>
  <si>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</si>
  <si>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</si>
  <si>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</si>
  <si>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</si>
  <si>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</si>
  <si>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</si>
  <si>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</si>
  <si>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</si>
  <si>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</si>
  <si>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</si>
  <si>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</si>
  <si>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</si>
  <si>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</si>
  <si>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</si>
  <si>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</si>
  <si>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</si>
  <si>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</si>
  <si>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</si>
  <si>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</si>
  <si>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</si>
  <si>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</si>
  <si>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</si>
  <si>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</si>
  <si>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</si>
  <si>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</si>
  <si>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</si>
  <si>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</si>
  <si>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</si>
  <si>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</si>
  <si>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</si>
  <si>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</si>
  <si>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</si>
  <si>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</si>
  <si>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</si>
  <si>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</si>
  <si>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</si>
  <si>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</si>
  <si>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</si>
  <si>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</si>
  <si>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</si>
  <si>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</si>
  <si>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</si>
  <si>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</si>
  <si>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</si>
  <si>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</si>
  <si>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</si>
  <si>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</si>
  <si>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</si>
  <si>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</si>
  <si>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</si>
  <si>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</si>
  <si>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</si>
  <si>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</si>
  <si>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</si>
  <si>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</si>
  <si>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</si>
  <si>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</si>
  <si>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</si>
  <si>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</si>
  <si>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</si>
  <si>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</si>
  <si>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</si>
  <si>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</si>
  <si>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</si>
  <si>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</si>
  <si>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</si>
  <si>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</si>
  <si>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</si>
  <si>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</si>
  <si>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</si>
  <si>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</si>
  <si>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</si>
  <si>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</si>
  <si>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</si>
  <si>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</si>
  <si>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</si>
  <si>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</si>
  <si>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</si>
  <si>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</si>
  <si>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</si>
  <si>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</si>
  <si>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</si>
  <si>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</si>
  <si>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</si>
  <si>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</si>
  <si>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</si>
  <si>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</si>
  <si>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</si>
  <si>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</si>
  <si>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</si>
  <si>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</si>
  <si>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</si>
  <si>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</si>
  <si>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</si>
  <si>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</si>
  <si>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</si>
  <si>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</si>
  <si>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</si>
  <si>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</si>
  <si>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</si>
  <si>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</si>
  <si>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</si>
  <si>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</si>
  <si>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</si>
  <si>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</si>
  <si>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</si>
  <si>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</si>
  <si>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</si>
  <si>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</si>
  <si>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</si>
  <si>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</si>
  <si>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</si>
  <si>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</si>
  <si>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</si>
  <si>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</si>
  <si>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</si>
  <si>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</si>
  <si>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</si>
  <si>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</si>
  <si>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</si>
  <si>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</si>
  <si>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</si>
  <si>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</si>
  <si>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</si>
  <si>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</si>
  <si>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</si>
  <si>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</si>
  <si>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</si>
  <si>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</si>
  <si>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</si>
  <si>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</si>
  <si>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</si>
  <si>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</si>
  <si>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</si>
  <si>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</si>
  <si>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</si>
  <si>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</si>
  <si>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</si>
  <si>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</si>
  <si>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</si>
  <si>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</si>
  <si>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</si>
  <si>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</si>
  <si>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</si>
  <si>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</si>
  <si>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</si>
  <si>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</si>
  <si>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</si>
  <si>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</si>
  <si>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</si>
  <si>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</si>
  <si>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</si>
  <si>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</si>
  <si>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</si>
  <si>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</si>
  <si>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</si>
  <si>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</si>
  <si>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</si>
  <si>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</si>
  <si>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</si>
  <si>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</si>
  <si>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</si>
  <si>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</si>
  <si>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</si>
  <si>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</si>
  <si>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</si>
  <si>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</si>
  <si>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</si>
  <si>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</si>
  <si>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</si>
  <si>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</si>
  <si>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</si>
  <si>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</si>
  <si>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</si>
  <si>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</si>
  <si>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</si>
  <si>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</si>
  <si>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</si>
  <si>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</si>
  <si>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</si>
  <si>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</si>
  <si>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</si>
  <si>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</si>
  <si>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</si>
  <si>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</si>
  <si>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</si>
  <si>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</si>
  <si>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</si>
  <si>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</si>
  <si>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</si>
  <si>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</si>
  <si>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</si>
  <si>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</si>
  <si>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</si>
  <si>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</si>
  <si>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</si>
  <si>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</si>
  <si>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</si>
  <si>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</si>
  <si>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</si>
  <si>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</si>
  <si>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</si>
  <si>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</si>
  <si>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</si>
  <si>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</si>
  <si>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</si>
  <si>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</si>
  <si>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</si>
  <si>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</si>
  <si>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</si>
  <si>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</si>
  <si>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</si>
  <si>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</si>
  <si>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</si>
  <si>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</si>
  <si>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</si>
  <si>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</si>
  <si>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</si>
  <si>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</si>
  <si>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</si>
  <si>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</si>
  <si>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</si>
  <si>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</si>
  <si>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</si>
  <si>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</si>
  <si>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</si>
  <si>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</si>
  <si>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</si>
  <si>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</si>
  <si>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</si>
  <si>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</si>
  <si>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</si>
  <si>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</si>
  <si>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</si>
  <si>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</si>
  <si>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</si>
  <si>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</si>
  <si>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</si>
  <si>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</si>
  <si>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</si>
  <si>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</si>
  <si>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</si>
  <si>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</si>
  <si>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</si>
  <si>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</si>
  <si>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</si>
  <si>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</si>
  <si>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</si>
  <si>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</si>
  <si>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</si>
  <si>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</si>
  <si>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</si>
  <si>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</si>
  <si>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</si>
  <si>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</si>
  <si>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</si>
  <si>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</si>
  <si>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</si>
  <si>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</si>
  <si>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</si>
  <si>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</si>
  <si>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</si>
  <si>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</si>
  <si>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</si>
  <si>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</si>
  <si>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</si>
  <si>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</si>
  <si>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</si>
  <si>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</si>
  <si>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</si>
  <si>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</si>
  <si>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</si>
  <si>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</si>
  <si>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</si>
  <si>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</si>
  <si>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</si>
  <si>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</si>
  <si>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</si>
  <si>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</si>
  <si>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</si>
  <si>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</si>
  <si>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</si>
  <si>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</si>
  <si>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</si>
  <si>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</si>
  <si>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</si>
  <si>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</si>
  <si>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</si>
  <si>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</si>
  <si>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</si>
  <si>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</si>
  <si>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</si>
  <si>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</si>
  <si>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</si>
  <si>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</si>
  <si>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</si>
  <si>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</si>
  <si>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</si>
  <si>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</si>
  <si>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</si>
  <si>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</si>
  <si>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</si>
  <si>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</si>
  <si>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</si>
  <si>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</si>
  <si>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</si>
  <si>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</si>
  <si>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</si>
  <si>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</si>
  <si>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</si>
  <si>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</si>
  <si>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</si>
  <si>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</si>
  <si>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</si>
  <si>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</si>
  <si>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</si>
  <si>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</si>
  <si>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</si>
  <si>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</si>
  <si>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</si>
  <si>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</si>
  <si>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</si>
  <si>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</si>
  <si>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</si>
  <si>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</si>
  <si>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</si>
  <si>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</si>
  <si>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</si>
  <si>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</si>
  <si>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</si>
  <si>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</si>
  <si>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</si>
  <si>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</si>
  <si>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</si>
  <si>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</si>
  <si>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</si>
  <si>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</si>
  <si>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</si>
  <si>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</si>
  <si>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</si>
  <si>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</si>
  <si>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</si>
  <si>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</si>
  <si>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</si>
  <si>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</si>
  <si>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</si>
  <si>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</si>
  <si>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</si>
  <si>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</si>
  <si>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</si>
  <si>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</si>
  <si>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</si>
  <si>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</si>
  <si>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</si>
  <si>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</si>
  <si>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</si>
  <si>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</si>
  <si>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</si>
  <si>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</si>
  <si>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</si>
  <si>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</si>
  <si>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</si>
  <si>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</si>
  <si>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</si>
  <si>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</si>
  <si>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</si>
  <si>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</si>
  <si>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</si>
  <si>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</si>
  <si>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</si>
  <si>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</si>
  <si>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</si>
  <si>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</si>
  <si>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</si>
  <si>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</si>
  <si>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</si>
  <si>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</si>
  <si>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</si>
  <si>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</si>
  <si>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</si>
  <si>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</si>
  <si>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</si>
  <si>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</si>
  <si>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</si>
  <si>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</si>
  <si>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</si>
  <si>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</si>
  <si>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</si>
  <si>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</si>
  <si>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</si>
  <si>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</si>
  <si>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</si>
  <si>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</si>
  <si>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</si>
  <si>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</si>
  <si>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</si>
  <si>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</si>
  <si>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</si>
  <si>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</si>
  <si>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</si>
  <si>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</si>
  <si>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</si>
  <si>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</si>
  <si>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</si>
  <si>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</si>
  <si>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</si>
  <si>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</si>
  <si>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</si>
  <si>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</si>
  <si>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</si>
  <si>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</si>
  <si>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</si>
  <si>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</si>
  <si>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</si>
  <si>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</si>
  <si>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</si>
  <si>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</si>
  <si>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</si>
  <si>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</si>
  <si>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</si>
  <si>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</si>
  <si>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</si>
  <si>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</si>
  <si>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</si>
  <si>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</si>
  <si>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</si>
  <si>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</si>
  <si>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</si>
  <si>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</si>
  <si>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</si>
  <si>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</si>
  <si>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</si>
  <si>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</si>
  <si>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</si>
  <si>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</si>
  <si>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</si>
  <si>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</si>
  <si>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</si>
  <si>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</si>
  <si>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</si>
  <si>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</si>
  <si>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</si>
  <si>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</si>
  <si>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</si>
  <si>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</si>
  <si>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</si>
  <si>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</si>
  <si>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</si>
  <si>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</si>
  <si>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</si>
  <si>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</si>
  <si>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</si>
  <si>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</si>
  <si>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</si>
  <si>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</si>
  <si>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</si>
  <si>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</si>
  <si>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</si>
  <si>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</si>
  <si>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</si>
  <si>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</si>
  <si>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</si>
  <si>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</si>
  <si>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</si>
  <si>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</si>
  <si>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</si>
  <si>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</si>
  <si>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</si>
  <si>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</si>
  <si>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</si>
  <si>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</si>
  <si>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</si>
  <si>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</si>
  <si>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</si>
  <si>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</si>
  <si>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</si>
  <si>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</si>
  <si>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</si>
  <si>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</si>
  <si>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</si>
  <si>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</si>
  <si>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</si>
  <si>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</si>
  <si>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</si>
  <si>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</si>
  <si>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</si>
  <si>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</si>
  <si>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</si>
  <si>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</si>
  <si>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</si>
  <si>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</si>
  <si>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</si>
  <si>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</si>
  <si>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</si>
  <si>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</si>
  <si>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</si>
  <si>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</si>
  <si>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</si>
  <si>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</si>
  <si>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</si>
  <si>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</si>
  <si>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</si>
  <si>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</si>
  <si>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</si>
  <si>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</si>
  <si>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</si>
  <si>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</si>
  <si>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</si>
  <si>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</si>
  <si>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</si>
  <si>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</si>
  <si>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</si>
  <si>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</si>
  <si>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</si>
  <si>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</si>
  <si>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</si>
  <si>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</si>
  <si>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</si>
  <si>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</si>
  <si>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</si>
  <si>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</si>
  <si>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</si>
  <si>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</si>
  <si>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</si>
  <si>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</si>
  <si>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</si>
  <si>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</si>
  <si>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</si>
  <si>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</si>
  <si>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</si>
  <si>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</si>
  <si>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</si>
  <si>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</si>
  <si>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</si>
  <si>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</si>
  <si>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</si>
  <si>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</si>
  <si>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</si>
  <si>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</si>
  <si>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</si>
  <si>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</si>
  <si>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</si>
  <si>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</si>
  <si>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</si>
  <si>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</si>
  <si>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</si>
  <si>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</si>
  <si>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</si>
  <si>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</si>
  <si>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</si>
  <si>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</si>
  <si>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</si>
  <si>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</si>
  <si>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</si>
  <si>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</si>
  <si>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</si>
  <si>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</si>
  <si>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</si>
  <si>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</si>
  <si>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</si>
  <si>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</si>
  <si>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</si>
  <si>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</si>
  <si>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</si>
  <si>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</si>
  <si>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</si>
  <si>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</si>
  <si>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</si>
  <si>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</si>
  <si>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</si>
  <si>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</si>
  <si>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</si>
  <si>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</si>
  <si>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</si>
  <si>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</si>
  <si>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</si>
  <si>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</si>
  <si>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</si>
  <si>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</si>
  <si>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</si>
  <si>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</si>
  <si>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</si>
  <si>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</si>
  <si>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</si>
  <si>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</si>
  <si>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</si>
  <si>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</si>
  <si>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</si>
  <si>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</si>
  <si>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</si>
  <si>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</si>
  <si>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</si>
  <si>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</si>
  <si>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</si>
  <si>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</si>
  <si>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</si>
  <si>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</si>
  <si>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</si>
  <si>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</si>
  <si>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</si>
  <si>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</si>
  <si>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</si>
  <si>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</si>
  <si>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</si>
  <si>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</si>
  <si>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</si>
  <si>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</si>
  <si>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</si>
  <si>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</si>
  <si>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</si>
  <si>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</si>
  <si>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</si>
  <si>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</si>
  <si>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</si>
  <si>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</si>
  <si>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</si>
  <si>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</si>
  <si>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</si>
  <si>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</si>
  <si>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</si>
  <si>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</si>
  <si>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</si>
  <si>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</si>
  <si>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</si>
  <si>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</si>
  <si>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</si>
  <si>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</si>
  <si>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</si>
  <si>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</si>
  <si>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</si>
  <si>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</si>
  <si>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</si>
  <si>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</si>
  <si>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</si>
  <si>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</si>
  <si>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</si>
  <si>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</si>
  <si>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</si>
  <si>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</si>
  <si>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</si>
  <si>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</si>
  <si>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</si>
  <si>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</si>
  <si>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</si>
  <si>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</si>
  <si>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</si>
  <si>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</si>
  <si>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</si>
  <si>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</si>
  <si>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</si>
  <si>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</si>
  <si>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</si>
  <si>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</si>
  <si>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</si>
  <si>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</si>
  <si>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</si>
  <si>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</si>
  <si>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</si>
  <si>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</si>
  <si>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</si>
  <si>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</si>
  <si>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</si>
  <si>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</si>
  <si>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</si>
  <si>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</si>
  <si>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</si>
  <si>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</si>
  <si>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</si>
  <si>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</si>
  <si>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</si>
  <si>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</si>
  <si>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</si>
  <si>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</si>
  <si>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</si>
  <si>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</si>
  <si>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</si>
  <si>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</si>
  <si>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</si>
  <si>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</si>
  <si>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</si>
  <si>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</si>
  <si>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</si>
  <si>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</si>
  <si>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</si>
  <si>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</si>
  <si>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</si>
  <si>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</si>
  <si>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</si>
  <si>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</si>
  <si>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</si>
  <si>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</si>
  <si>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</si>
  <si>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</si>
  <si>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</si>
  <si>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</si>
  <si>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</si>
  <si>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</si>
  <si>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</si>
  <si>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</si>
  <si>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</si>
  <si>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</si>
  <si>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</si>
  <si>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</si>
  <si>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</si>
  <si>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</si>
  <si>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</si>
  <si>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</si>
  <si>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</si>
  <si>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</si>
  <si>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</si>
  <si>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</si>
  <si>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</si>
  <si>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</si>
  <si>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</si>
  <si>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</si>
  <si>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</si>
  <si>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</si>
  <si>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</si>
  <si>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</si>
  <si>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</si>
  <si>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</si>
  <si>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</si>
  <si>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</si>
  <si>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</si>
  <si>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</si>
  <si>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</si>
  <si>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</si>
  <si>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</si>
  <si>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</si>
  <si>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</si>
  <si>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</si>
  <si>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</si>
  <si>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</si>
  <si>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</si>
  <si>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</si>
  <si>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</si>
  <si>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</si>
  <si>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</si>
  <si>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</si>
  <si>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</si>
  <si>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</si>
  <si>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</si>
  <si>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</si>
  <si>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</si>
  <si>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</si>
  <si>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</si>
  <si>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</si>
  <si>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</si>
  <si>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</si>
  <si>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</si>
  <si>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</si>
  <si>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</si>
  <si>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</si>
  <si>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</si>
  <si>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</si>
  <si>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</si>
  <si>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</si>
  <si>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</si>
  <si>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</si>
  <si>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</si>
  <si>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</si>
  <si>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</si>
  <si>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</si>
  <si>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</si>
  <si>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</si>
  <si>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</si>
  <si>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</si>
  <si>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</si>
  <si>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</si>
  <si>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</si>
  <si>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</si>
  <si>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</si>
  <si>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</si>
  <si>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</si>
  <si>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</si>
  <si>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</si>
  <si>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</si>
  <si>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</si>
  <si>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</si>
  <si>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</si>
  <si>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</si>
  <si>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</si>
  <si>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</si>
  <si>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</si>
  <si>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</si>
  <si>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</si>
  <si>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</si>
  <si>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</si>
  <si>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</si>
  <si>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</si>
  <si>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</si>
  <si>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</si>
  <si>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</si>
  <si>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</si>
  <si>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</si>
  <si>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</si>
  <si>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</si>
  <si>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</si>
  <si>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</si>
  <si>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</si>
  <si>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</si>
  <si>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</si>
  <si>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</si>
  <si>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</si>
  <si>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</si>
  <si>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</si>
  <si>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</si>
  <si>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</si>
  <si>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</si>
  <si>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</si>
  <si>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</si>
  <si>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</si>
  <si>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</si>
  <si>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</si>
  <si>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</si>
  <si>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</si>
  <si>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</si>
  <si>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</si>
  <si>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</si>
  <si>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</si>
  <si>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</si>
  <si>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</si>
  <si>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</si>
  <si>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</si>
  <si>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</si>
  <si>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</si>
  <si>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</si>
  <si>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</si>
  <si>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</si>
  <si>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</si>
  <si>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</si>
  <si>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</si>
  <si>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</si>
  <si>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</si>
  <si>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</si>
  <si>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</si>
  <si>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</si>
  <si>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</si>
  <si>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</si>
  <si>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</si>
  <si>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</si>
  <si>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</si>
  <si>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</si>
  <si>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</si>
  <si>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</si>
  <si>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</si>
  <si>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</si>
  <si>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</si>
  <si>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</si>
  <si>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</si>
  <si>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</si>
  <si>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</si>
  <si>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</si>
  <si>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</si>
  <si>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</si>
  <si>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</si>
  <si>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</si>
  <si>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</si>
  <si>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</si>
  <si>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</si>
  <si>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</si>
  <si>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</si>
  <si>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</si>
  <si>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</si>
  <si>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</si>
  <si>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</si>
  <si>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</si>
  <si>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</si>
  <si>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</si>
  <si>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</si>
  <si>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</si>
  <si>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</si>
  <si>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</si>
  <si>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</si>
  <si>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</si>
  <si>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</si>
  <si>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</si>
  <si>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</si>
  <si>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</si>
  <si>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</si>
  <si>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</si>
  <si>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</si>
  <si>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</si>
  <si>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</si>
  <si>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</si>
  <si>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</si>
  <si>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</si>
  <si>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</si>
  <si>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</si>
  <si>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</si>
  <si>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</si>
  <si>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</si>
  <si>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</si>
  <si>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</si>
  <si>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</si>
  <si>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</si>
  <si>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</si>
  <si>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</si>
  <si>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</si>
  <si>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</si>
  <si>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</si>
  <si>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</si>
  <si>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</si>
  <si>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</si>
  <si>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</si>
  <si>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</si>
  <si>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</si>
  <si>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</si>
  <si>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</si>
  <si>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</si>
  <si>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</si>
  <si>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</si>
  <si>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</si>
  <si>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</si>
  <si>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</si>
  <si>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</si>
  <si>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</si>
  <si>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</si>
  <si>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</si>
  <si>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</si>
  <si>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</si>
  <si>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</si>
  <si>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</si>
  <si>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</si>
  <si>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</si>
  <si>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</si>
  <si>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</si>
  <si>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</si>
  <si>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</si>
  <si>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</si>
  <si>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</si>
  <si>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</si>
  <si>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</si>
  <si>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</si>
  <si>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</si>
  <si>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</si>
  <si>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</si>
  <si>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</si>
  <si>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</si>
  <si>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</si>
  <si>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</si>
  <si>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</si>
  <si>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</si>
  <si>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</si>
  <si>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</si>
  <si>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</si>
  <si>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</si>
  <si>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</si>
  <si>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</si>
  <si>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</si>
  <si>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</si>
  <si>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</si>
  <si>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</si>
  <si>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</si>
  <si>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</si>
  <si>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</si>
  <si>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</si>
  <si>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</si>
  <si>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</si>
  <si>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</si>
  <si>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</si>
  <si>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</si>
  <si>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</si>
  <si>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</si>
  <si>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</si>
  <si>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</si>
  <si>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</si>
  <si>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</si>
  <si>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</si>
  <si>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</si>
  <si>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</si>
  <si>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</si>
  <si>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</si>
  <si>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</si>
  <si>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</si>
  <si>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</si>
  <si>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</si>
  <si>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</si>
  <si>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</si>
  <si>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</si>
  <si>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</si>
  <si>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</si>
  <si>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</si>
  <si>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</si>
  <si>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</si>
  <si>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</si>
  <si>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</si>
  <si>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</si>
  <si>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</si>
  <si>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</si>
  <si>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</si>
  <si>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</si>
  <si>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</si>
  <si>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</si>
  <si>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</si>
  <si>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</si>
  <si>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</si>
  <si>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</si>
  <si>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</si>
  <si>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</si>
  <si>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</si>
  <si>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</si>
  <si>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</si>
  <si>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</si>
  <si>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</si>
  <si>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</si>
  <si>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</si>
  <si>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</si>
  <si>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</si>
  <si>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</si>
  <si>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</si>
  <si>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</si>
  <si>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</si>
  <si>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</si>
  <si>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</si>
  <si>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</si>
  <si>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</si>
  <si>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</si>
  <si>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</si>
  <si>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</si>
  <si>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</si>
  <si>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</si>
  <si>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</si>
  <si>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</si>
  <si>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</si>
  <si>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</si>
  <si>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</si>
  <si>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</si>
  <si>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</si>
  <si>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</si>
  <si>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</si>
  <si>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</si>
  <si>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</si>
  <si>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</si>
  <si>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</si>
  <si>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</si>
  <si>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</si>
  <si>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</si>
  <si>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</si>
  <si>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</si>
  <si>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</si>
  <si>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</si>
  <si>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</si>
  <si>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</si>
  <si>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</si>
  <si>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</si>
  <si>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</si>
  <si>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</si>
  <si>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</si>
  <si>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</si>
  <si>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</si>
  <si>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</si>
  <si>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</si>
  <si>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</si>
  <si>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</si>
  <si>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</si>
  <si>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</si>
  <si>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</si>
  <si>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</si>
  <si>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</si>
  <si>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</si>
  <si>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</si>
  <si>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</si>
  <si>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</si>
  <si>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</si>
  <si>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</si>
  <si>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</si>
  <si>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</si>
  <si>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</si>
  <si>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</si>
  <si>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</si>
  <si>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</si>
  <si>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</si>
  <si>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</si>
  <si>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</si>
  <si>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</si>
  <si>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</si>
  <si>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</si>
  <si>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</si>
  <si>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</si>
  <si>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</si>
  <si>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</si>
  <si>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</si>
  <si>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</si>
  <si>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</si>
  <si>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</si>
  <si>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</si>
  <si>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</si>
  <si>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</si>
  <si>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</si>
  <si>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</si>
  <si>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</si>
  <si>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</si>
  <si>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</si>
  <si>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</si>
  <si>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</si>
  <si>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</si>
  <si>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</si>
  <si>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</si>
  <si>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</si>
  <si>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</si>
  <si>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</si>
  <si>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</si>
  <si>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</si>
  <si>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</si>
  <si>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</si>
  <si>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</si>
  <si>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</si>
  <si>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</si>
  <si>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</si>
  <si>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</si>
  <si>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</si>
  <si>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</si>
  <si>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</si>
  <si>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</si>
  <si>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</si>
  <si>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</si>
  <si>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</si>
  <si>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</si>
  <si>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</si>
  <si>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</si>
  <si>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</si>
  <si>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</si>
  <si>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</si>
  <si>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</si>
  <si>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</si>
  <si>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</si>
  <si>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</si>
  <si>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</si>
  <si>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</si>
  <si>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</si>
  <si>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</si>
  <si>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</si>
  <si>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</si>
  <si>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</si>
  <si>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</si>
  <si>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</si>
  <si>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</si>
  <si>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</si>
  <si>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</si>
  <si>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</si>
  <si>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</si>
  <si>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</si>
  <si>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</si>
  <si>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</si>
  <si>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</si>
  <si>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</si>
  <si>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</si>
  <si>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</si>
  <si>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</si>
  <si>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</si>
  <si>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</si>
  <si>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</si>
  <si>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</si>
  <si>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</si>
  <si>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</si>
  <si>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</si>
  <si>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</si>
  <si>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</si>
  <si>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</si>
  <si>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</si>
  <si>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</si>
  <si>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</si>
  <si>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</si>
  <si>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</si>
  <si>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</si>
  <si>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</si>
  <si>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</si>
  <si>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</si>
  <si>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</si>
  <si>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</si>
  <si>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</si>
  <si>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</si>
  <si>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</si>
  <si>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</si>
  <si>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</si>
  <si>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</si>
  <si>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</si>
  <si>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</si>
  <si>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</si>
  <si>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</si>
  <si>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</si>
  <si>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</si>
  <si>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</si>
  <si>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</si>
  <si>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</si>
  <si>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</si>
  <si>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</si>
  <si>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</si>
  <si>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</si>
  <si>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</si>
  <si>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</si>
  <si>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</si>
  <si>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</si>
  <si>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</si>
  <si>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</si>
  <si>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</si>
  <si>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</si>
  <si>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</si>
  <si>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</si>
  <si>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</si>
  <si>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</si>
  <si>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</si>
  <si>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</si>
  <si>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</si>
  <si>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</si>
  <si>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</si>
  <si>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</si>
  <si>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</si>
  <si>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</si>
  <si>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</si>
  <si>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</si>
  <si>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</si>
  <si>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</si>
  <si>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</si>
  <si>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</si>
  <si>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</si>
  <si>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</si>
  <si>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</si>
  <si>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</si>
  <si>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</si>
  <si>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</si>
  <si>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</si>
  <si>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</si>
  <si>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</si>
  <si>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</si>
  <si>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</si>
  <si>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</si>
  <si>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</si>
  <si>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</si>
  <si>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</si>
  <si>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</si>
  <si>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</si>
  <si>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</si>
  <si>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</si>
  <si>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</si>
  <si>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</si>
  <si>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</si>
  <si>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</si>
  <si>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</si>
  <si>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</si>
  <si>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</si>
  <si>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</si>
  <si>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</si>
  <si>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</si>
  <si>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</si>
  <si>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</si>
  <si>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</si>
  <si>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</si>
  <si>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</si>
  <si>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</si>
  <si>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</si>
  <si>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</si>
  <si>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</si>
  <si>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</si>
  <si>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</si>
  <si>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</si>
  <si>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</si>
  <si>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</si>
  <si>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</si>
  <si>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</si>
  <si>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</si>
  <si>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</si>
  <si>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</si>
  <si>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</si>
  <si>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</si>
  <si>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</si>
  <si>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</si>
  <si>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</si>
  <si>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</si>
  <si>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</si>
  <si>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</si>
  <si>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</si>
  <si>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</si>
  <si>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</si>
  <si>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</si>
  <si>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</si>
  <si>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</si>
  <si>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</si>
  <si>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</si>
  <si>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</si>
  <si>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</si>
  <si>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</si>
  <si>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</si>
  <si>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</si>
  <si>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</si>
  <si>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</si>
  <si>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</si>
  <si>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</si>
  <si>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</si>
  <si>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</si>
  <si>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</si>
  <si>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</si>
  <si>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</si>
  <si>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</si>
  <si>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</si>
  <si>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</si>
  <si>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</si>
  <si>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</si>
  <si>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</si>
  <si>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</si>
  <si>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</si>
  <si>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</si>
  <si>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</si>
  <si>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</si>
  <si>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</si>
  <si>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</si>
  <si>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</si>
  <si>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</si>
  <si>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</si>
  <si>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</si>
  <si>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</si>
  <si>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</si>
  <si>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</si>
  <si>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</si>
  <si>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</si>
  <si>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</si>
  <si>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</si>
  <si>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</si>
  <si>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</si>
  <si>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</si>
  <si>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</si>
  <si>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</si>
  <si>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</si>
  <si>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</si>
  <si>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</si>
  <si>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</si>
  <si>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</si>
  <si>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</si>
  <si>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</si>
  <si>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</si>
  <si>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</si>
  <si>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</si>
  <si>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</si>
  <si>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</si>
  <si>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</si>
  <si>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</si>
  <si>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</si>
  <si>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</si>
  <si>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</si>
  <si>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</si>
  <si>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</si>
  <si>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</si>
  <si>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</si>
  <si>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</si>
  <si>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</si>
  <si>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</si>
  <si>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</si>
  <si>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</si>
  <si>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</si>
  <si>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</si>
  <si>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</si>
  <si>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</si>
  <si>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</si>
  <si>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</si>
  <si>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</si>
  <si>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</si>
  <si>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</si>
  <si>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</si>
  <si>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</si>
  <si>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</si>
  <si>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</si>
  <si>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</si>
  <si>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</si>
  <si>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</si>
  <si>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</si>
  <si>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</si>
  <si>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</si>
  <si>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</si>
  <si>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</si>
  <si>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</si>
  <si>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</si>
  <si>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</si>
  <si>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</si>
  <si>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</si>
  <si>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</si>
  <si>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</si>
  <si>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</si>
  <si>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</si>
  <si>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</si>
  <si>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</si>
  <si>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</si>
  <si>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</si>
  <si>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</si>
  <si>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</si>
  <si>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</si>
  <si>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</si>
  <si>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</si>
  <si>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</si>
  <si>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</si>
  <si>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</si>
  <si>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</si>
  <si>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</si>
  <si>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</si>
  <si>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</si>
  <si>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</si>
  <si>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</si>
  <si>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</si>
  <si>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</si>
  <si>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</si>
  <si>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</si>
  <si>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</si>
  <si>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</si>
  <si>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</si>
  <si>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</si>
  <si>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</si>
  <si>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</si>
  <si>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</si>
  <si>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</si>
  <si>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</si>
  <si>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</si>
  <si>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</si>
  <si>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</si>
  <si>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</si>
  <si>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</si>
  <si>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</si>
  <si>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</si>
  <si>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</si>
  <si>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</si>
  <si>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</si>
  <si>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</si>
  <si>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</si>
  <si>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</si>
  <si>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</si>
  <si>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</si>
  <si>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</si>
  <si>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</si>
  <si>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</si>
  <si>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</si>
  <si>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</si>
  <si>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</si>
  <si>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</si>
  <si>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</si>
  <si>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</si>
  <si>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</si>
  <si>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</si>
  <si>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</si>
  <si>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</si>
  <si>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</si>
  <si>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</si>
  <si>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</si>
  <si>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</si>
  <si>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</si>
  <si>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</si>
  <si>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</si>
  <si>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</si>
  <si>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</si>
  <si>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</si>
  <si>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</si>
  <si>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</si>
  <si>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</si>
  <si>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</si>
  <si>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</si>
  <si>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</si>
  <si>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</si>
  <si>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</si>
  <si>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</si>
  <si>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</si>
  <si>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</si>
  <si>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</si>
  <si>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</si>
  <si>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</si>
  <si>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</si>
  <si>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</si>
  <si>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</si>
  <si>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</si>
  <si>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</si>
  <si>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</si>
  <si>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</si>
  <si>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</si>
  <si>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</si>
  <si>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</si>
  <si>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</si>
  <si>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</si>
  <si>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</si>
  <si>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</si>
  <si>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</si>
  <si>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</si>
  <si>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</si>
  <si>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</si>
  <si>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</si>
  <si>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</si>
  <si>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</si>
  <si>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</si>
  <si>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</si>
  <si>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</si>
  <si>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</si>
  <si>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</si>
  <si>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</si>
  <si>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</si>
  <si>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</si>
  <si>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</si>
  <si>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</si>
  <si>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</si>
  <si>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</si>
  <si>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</si>
  <si>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</si>
  <si>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</si>
  <si>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</si>
  <si>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</si>
  <si>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</si>
  <si>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</si>
  <si>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</si>
  <si>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</si>
  <si>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</si>
  <si>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</si>
  <si>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</si>
  <si>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</si>
  <si>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</si>
  <si>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</si>
  <si>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</si>
  <si>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</si>
  <si>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</si>
  <si>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</si>
  <si>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</si>
  <si>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</si>
  <si>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</si>
  <si>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</si>
  <si>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</si>
  <si>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</si>
  <si>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</si>
  <si>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</si>
  <si>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</si>
  <si>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</si>
  <si>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</si>
  <si>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</si>
  <si>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</si>
  <si>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</si>
  <si>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</si>
  <si>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</si>
  <si>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</si>
  <si>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</si>
  <si>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</si>
  <si>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</si>
  <si>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</si>
  <si>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</si>
  <si>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</si>
  <si>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</si>
  <si>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</si>
  <si>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</si>
  <si>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</si>
  <si>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</si>
  <si>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</si>
  <si>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</si>
  <si>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</si>
  <si>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</si>
  <si>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</si>
  <si>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</si>
  <si>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</si>
  <si>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</si>
  <si>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</si>
  <si>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</si>
  <si>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</si>
  <si>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</si>
  <si>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</si>
  <si>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</si>
  <si>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</si>
  <si>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</si>
  <si>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</si>
  <si>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</si>
  <si>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</si>
  <si>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</si>
  <si>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</si>
  <si>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</si>
  <si>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</si>
  <si>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</si>
  <si>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</si>
  <si>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</si>
  <si>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</si>
  <si>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</si>
  <si>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</si>
  <si>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</si>
  <si>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</si>
  <si>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</si>
  <si>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</si>
  <si>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</si>
  <si>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</si>
  <si>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</si>
  <si>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</si>
  <si>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</si>
  <si>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</si>
  <si>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</si>
  <si>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</si>
  <si>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</si>
  <si>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</si>
  <si>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</si>
  <si>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</si>
  <si>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</si>
  <si>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</si>
  <si>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</si>
  <si>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</si>
  <si>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</si>
  <si>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</si>
  <si>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</si>
  <si>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</si>
  <si>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</si>
  <si>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</si>
  <si>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</si>
  <si>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</si>
  <si>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</si>
  <si>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</si>
  <si>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</si>
  <si>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</si>
  <si>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</si>
  <si>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</si>
  <si>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</si>
  <si>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</si>
  <si>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</si>
  <si>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</si>
  <si>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</si>
  <si>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</si>
  <si>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</si>
  <si>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</si>
  <si>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</si>
  <si>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</si>
  <si>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</si>
  <si>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</si>
  <si>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</si>
  <si>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</si>
  <si>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</si>
  <si>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</si>
  <si>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</si>
  <si>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</si>
  <si>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</si>
  <si>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</si>
  <si>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</si>
  <si>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</si>
  <si>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</si>
  <si>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</si>
  <si>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</si>
  <si>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</si>
  <si>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</si>
  <si>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</si>
  <si>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</si>
  <si>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</si>
  <si>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</si>
  <si>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</si>
  <si>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</si>
  <si>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</si>
  <si>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</si>
  <si>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</si>
  <si>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</si>
  <si>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</si>
  <si>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</si>
  <si>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</si>
  <si>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</si>
  <si>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</si>
  <si>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</si>
  <si>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</si>
  <si>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</si>
  <si>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</si>
  <si>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</si>
  <si>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</si>
  <si>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</si>
  <si>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</si>
  <si>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</si>
  <si>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</si>
  <si>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</si>
  <si>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</si>
  <si>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</si>
  <si>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</si>
  <si>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</si>
  <si>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</si>
  <si>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</si>
  <si>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</si>
  <si>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</si>
  <si>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</si>
  <si>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</si>
  <si>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</si>
  <si>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</si>
  <si>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</si>
  <si>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</si>
  <si>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</si>
  <si>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</si>
  <si>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</si>
  <si>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</si>
  <si>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</si>
  <si>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</si>
  <si>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</si>
  <si>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</si>
  <si>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</si>
  <si>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</si>
  <si>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</si>
  <si>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</si>
  <si>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</si>
  <si>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</si>
  <si>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</si>
  <si>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</si>
  <si>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</si>
  <si>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</si>
  <si>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</si>
  <si>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</si>
  <si>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</si>
  <si>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</si>
  <si>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</si>
  <si>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</si>
  <si>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</si>
  <si>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</si>
  <si>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</si>
  <si>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</si>
  <si>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</si>
  <si>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</si>
  <si>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</si>
  <si>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</si>
  <si>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</si>
  <si>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</si>
  <si>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</si>
  <si>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</si>
  <si>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</si>
  <si>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</si>
  <si>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</si>
  <si>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</si>
  <si>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</si>
  <si>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</si>
  <si>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</si>
  <si>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</si>
  <si>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</si>
  <si>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</si>
  <si>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</si>
  <si>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</si>
  <si>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</si>
  <si>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</si>
  <si>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</si>
  <si>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</si>
  <si>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</si>
  <si>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</si>
  <si>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</si>
  <si>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</si>
  <si>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</si>
  <si>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</si>
  <si>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</si>
  <si>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</si>
  <si>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</si>
  <si>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</si>
  <si>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</si>
  <si>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</si>
  <si>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</si>
  <si>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</si>
  <si>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</si>
  <si>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</si>
  <si>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</si>
  <si>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</si>
  <si>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</si>
  <si>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</si>
  <si>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</si>
  <si>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</si>
  <si>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</si>
  <si>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</si>
  <si>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</si>
  <si>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</si>
  <si>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</si>
  <si>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</si>
  <si>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</si>
  <si>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</si>
  <si>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</si>
  <si>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</si>
  <si>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</si>
  <si>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</si>
  <si>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</si>
  <si>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</si>
  <si>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</si>
  <si>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</si>
  <si>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</si>
  <si>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</si>
  <si>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</si>
  <si>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</si>
  <si>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</si>
  <si>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</si>
  <si>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</si>
  <si>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</si>
  <si>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</si>
  <si>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</si>
  <si>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</si>
  <si>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</si>
  <si>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</si>
  <si>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</si>
  <si>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</si>
  <si>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</si>
  <si>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</si>
  <si>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</si>
  <si>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</si>
  <si>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</si>
  <si>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</si>
  <si>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</si>
  <si>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</si>
  <si>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</si>
  <si>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</si>
  <si>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</si>
  <si>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</si>
  <si>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</si>
  <si>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</si>
  <si>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</si>
  <si>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</si>
  <si>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</si>
  <si>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</si>
  <si>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</si>
  <si>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</si>
  <si>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</si>
  <si>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</si>
  <si>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</si>
  <si>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</si>
  <si>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</si>
  <si>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</si>
  <si>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</si>
  <si>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</si>
  <si>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</si>
  <si>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</si>
  <si>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</si>
  <si>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</si>
  <si>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</si>
  <si>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</si>
  <si>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</si>
  <si>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</si>
  <si>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</si>
  <si>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</si>
  <si>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</si>
  <si>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</si>
  <si>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</si>
  <si>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</si>
  <si>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</si>
  <si>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</si>
  <si>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</si>
  <si>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</si>
  <si>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</si>
  <si>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</si>
  <si>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</si>
  <si>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</si>
  <si>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</si>
  <si>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</si>
  <si>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</si>
  <si>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</si>
  <si>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</si>
  <si>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</si>
  <si>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</si>
  <si>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</si>
  <si>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</si>
  <si>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</si>
  <si>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</si>
  <si>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</si>
  <si>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</si>
  <si>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</si>
  <si>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</si>
  <si>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</si>
  <si>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</si>
  <si>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</si>
  <si>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</si>
  <si>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</si>
  <si>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</si>
  <si>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</si>
  <si>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</si>
  <si>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</si>
  <si>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</si>
  <si>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</si>
  <si>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</si>
  <si>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</si>
  <si>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</si>
  <si>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</si>
  <si>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</si>
  <si>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</si>
  <si>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</si>
  <si>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</si>
  <si>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</si>
  <si>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</si>
  <si>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</si>
  <si>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</si>
  <si>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</si>
  <si>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</si>
  <si>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</si>
  <si>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</si>
  <si>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</si>
  <si>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</si>
  <si>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</si>
  <si>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</si>
  <si>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</si>
  <si>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</si>
  <si>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</si>
  <si>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</si>
  <si>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</si>
  <si>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</si>
  <si>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</si>
  <si>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</si>
  <si>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</si>
  <si>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</si>
  <si>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</si>
  <si>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</si>
  <si>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</si>
  <si>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</si>
  <si>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</si>
  <si>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</si>
  <si>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</si>
  <si>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</si>
  <si>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</si>
  <si>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</si>
  <si>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</si>
  <si>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</si>
  <si>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</si>
  <si>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</si>
  <si>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</si>
  <si>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</si>
  <si>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</si>
  <si>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</si>
  <si>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</si>
  <si>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</si>
  <si>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</si>
  <si>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</si>
  <si>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</si>
  <si>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</si>
  <si>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</si>
  <si>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</si>
  <si>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</si>
  <si>
    <t>SHAHEENA KOUNSER</t>
  </si>
  <si>
    <t>SYED AIJAZ AHMAD KUBRAVI</t>
  </si>
  <si>
    <t>MA3RYHC1STK882981</t>
  </si>
  <si>
    <t>MA3SFM61STK559097</t>
  </si>
  <si>
    <t>JK26102168092792</t>
  </si>
  <si>
    <t>JK26102298309389</t>
  </si>
  <si>
    <t>JK05R2658</t>
  </si>
  <si>
    <t>2699429500186 </t>
  </si>
  <si>
    <t>JK01BG0407</t>
  </si>
  <si>
    <t>MBHKWD13STJ985366</t>
  </si>
  <si>
    <t>JK26102238304314</t>
  </si>
  <si>
    <t>JK13L1464</t>
  </si>
  <si>
    <t>JK04L5541</t>
  </si>
  <si>
    <t>2699429500191 </t>
  </si>
  <si>
    <t>MA3SFM61STJ554798</t>
  </si>
  <si>
    <t>JK26102218317046</t>
  </si>
  <si>
    <t xml:space="preserve">HDFC </t>
  </si>
  <si>
    <t>YAWAR'S ACCOUNT</t>
  </si>
  <si>
    <t>SAMEE ULLAH RESHI</t>
  </si>
  <si>
    <t>MOHAMMAD SYED LONE</t>
  </si>
  <si>
    <t>ASRAR AH GANAIE</t>
  </si>
  <si>
    <t>MA3SFM61STH544281</t>
  </si>
  <si>
    <t>MBHZCDESKTG640988</t>
  </si>
  <si>
    <t>MBHZCDESKTJ668268</t>
  </si>
  <si>
    <t>JK26102368419395</t>
  </si>
  <si>
    <t>JK26102328412356</t>
  </si>
  <si>
    <t>JK26102358423811</t>
  </si>
  <si>
    <t>JK01BG0450</t>
  </si>
  <si>
    <t>2699429600071 </t>
  </si>
  <si>
    <t>JK09E9401</t>
  </si>
  <si>
    <t>2699429600073 </t>
  </si>
  <si>
    <t>JK04L5527</t>
  </si>
  <si>
    <t>2699429600074 </t>
  </si>
  <si>
    <t>AADIL YOQOOB BHAT</t>
  </si>
  <si>
    <t>SABZAR AHMAD KHAN</t>
  </si>
  <si>
    <t>AAQIB GULL</t>
  </si>
  <si>
    <t>AKEEL AHMAD</t>
  </si>
  <si>
    <t>ADIL AHMAD BHAT</t>
  </si>
  <si>
    <t>IMTIYAZ AHMAD KHAN</t>
  </si>
  <si>
    <t>MANZOOR AHMAD BHAT</t>
  </si>
  <si>
    <t>MASARAT JAN</t>
  </si>
  <si>
    <t>MOHD YOUNUS BHAT</t>
  </si>
  <si>
    <t>JAHANGIR AHMED PAL</t>
  </si>
  <si>
    <t>NAWAZ NANDA</t>
  </si>
  <si>
    <t>MBHZCDESKTH644324</t>
  </si>
  <si>
    <t>MA3RYHC1STK886060</t>
  </si>
  <si>
    <t>MA3SFM61STK559676</t>
  </si>
  <si>
    <t>MA3YPLCSKTK286132</t>
  </si>
  <si>
    <t>MA3SFM61STJ554736</t>
  </si>
  <si>
    <t>MA3SFM61STH536354</t>
  </si>
  <si>
    <t>MA3YPLCSKTK282012</t>
  </si>
  <si>
    <t>MA3SFM61STK561699</t>
  </si>
  <si>
    <t>MA3SFM61STK563203</t>
  </si>
  <si>
    <t>MBHZCDESKTJ672895</t>
  </si>
  <si>
    <t>MA3SFM61STJ549136</t>
  </si>
  <si>
    <t>MBHZCDESKTH661992</t>
  </si>
  <si>
    <t>JK26102398407812</t>
  </si>
  <si>
    <t>JK26102388442009</t>
  </si>
  <si>
    <t>JK26102348423446</t>
  </si>
  <si>
    <t>JK26102318436877</t>
  </si>
  <si>
    <t>JK26102378427970</t>
  </si>
  <si>
    <t>JK26102398410428</t>
  </si>
  <si>
    <t>JK26102358405740</t>
  </si>
  <si>
    <t>JK26102388415728</t>
  </si>
  <si>
    <t>JK26102388446891</t>
  </si>
  <si>
    <t>JK26102398430643</t>
  </si>
  <si>
    <t>JK26102358420659</t>
  </si>
  <si>
    <t>JK26102398442185</t>
  </si>
  <si>
    <t>SHAFKAT MIR</t>
  </si>
  <si>
    <t>MA3SFM61STK559814</t>
  </si>
  <si>
    <t>JK26102348460416</t>
  </si>
  <si>
    <t>JK03R8801</t>
  </si>
  <si>
    <t>JK03R8827</t>
  </si>
  <si>
    <t>JK03R8815</t>
  </si>
  <si>
    <t>JK03R8818</t>
  </si>
  <si>
    <t>JK03R8854</t>
  </si>
  <si>
    <t>JK03R8890</t>
  </si>
  <si>
    <t>2699429600091 </t>
  </si>
  <si>
    <t>JK22D8197</t>
  </si>
  <si>
    <t>JK22D8161</t>
  </si>
  <si>
    <t>JK22D8105</t>
  </si>
  <si>
    <t>JK22D8172</t>
  </si>
  <si>
    <t>2699429600092 </t>
  </si>
  <si>
    <t>JK05R2640</t>
  </si>
  <si>
    <t>2699429600094 </t>
  </si>
  <si>
    <t>JK18E7642</t>
  </si>
  <si>
    <t>2699429600095 </t>
  </si>
  <si>
    <t>JK18E7694</t>
  </si>
  <si>
    <t>JK18E7634</t>
  </si>
  <si>
    <t>2699429600122 </t>
  </si>
  <si>
    <t>MBHZCDESKTK698299</t>
  </si>
  <si>
    <t>MA3SFM61STK563506</t>
  </si>
  <si>
    <t>JK01BG0534</t>
  </si>
  <si>
    <t>RAMIZ AHMAD RATHER</t>
  </si>
  <si>
    <t>JK26102388492145</t>
  </si>
  <si>
    <t>MOHAMMAD YOUNUS DAR</t>
  </si>
  <si>
    <t>JK26102318488994</t>
  </si>
  <si>
    <t>JK03R8859</t>
  </si>
  <si>
    <t>MA3YPLCSKTK277338</t>
  </si>
  <si>
    <t>JK26102378501492</t>
  </si>
  <si>
    <t>MBHKWD13STKA11814</t>
  </si>
  <si>
    <t>MBHKWD13STH969509</t>
  </si>
  <si>
    <t>JK26102328518279</t>
  </si>
  <si>
    <t>JK26102378469098</t>
  </si>
  <si>
    <t>RAFIQ AHMAD BUDOO</t>
  </si>
  <si>
    <t>RIYAZ AHMAD RATHER</t>
  </si>
  <si>
    <t>MA3RYHC1STK883903</t>
  </si>
  <si>
    <t>MBHZCDESKTH659003</t>
  </si>
  <si>
    <t>MA3SFM61STK560947</t>
  </si>
  <si>
    <t>MBHZCDESKTH658016</t>
  </si>
  <si>
    <t>JK26102378476276</t>
  </si>
  <si>
    <t>JK26102368514251</t>
  </si>
  <si>
    <t>JK26102348513446</t>
  </si>
  <si>
    <t>JK26102318516017</t>
  </si>
  <si>
    <t>JK05R7555</t>
  </si>
  <si>
    <t>2699429600144 </t>
  </si>
  <si>
    <t>JK09E9410</t>
  </si>
  <si>
    <t>2699429600147 </t>
  </si>
  <si>
    <t>JK01BG0544</t>
  </si>
  <si>
    <t>2699429600145 </t>
  </si>
  <si>
    <t>JK04L5509</t>
  </si>
  <si>
    <t>JK04L5530</t>
  </si>
  <si>
    <t>FAIZAN BASHIR MAGRAY</t>
  </si>
  <si>
    <t>YASIR MOHAMAD DAR</t>
  </si>
  <si>
    <t>JUGENDRA SINGH</t>
  </si>
  <si>
    <t>FAROOZ AHMAD BHAT</t>
  </si>
  <si>
    <t>DZIRE ZXI+ ISS</t>
  </si>
  <si>
    <t>MA3YPLCSKTK280690</t>
  </si>
  <si>
    <t>MA3YPLCSKTH257303</t>
  </si>
  <si>
    <t>MA3ZFDFSKTK607892</t>
  </si>
  <si>
    <t>MA3RYHC1STK884912</t>
  </si>
  <si>
    <t>JK26102398533835</t>
  </si>
  <si>
    <t>JK26102368510954</t>
  </si>
  <si>
    <t>JK26102138053779</t>
  </si>
  <si>
    <t>JK26102348515114</t>
  </si>
  <si>
    <t>JK13L1503</t>
  </si>
  <si>
    <t>2699429600160 </t>
  </si>
  <si>
    <t>MOHAMMAD YASEEN BHAT</t>
  </si>
  <si>
    <t>SHAHNAWAZ NABI LANGOO</t>
  </si>
  <si>
    <t>SHAHNAWAZ RAFIQ</t>
  </si>
  <si>
    <t>MA3SFM61STK560961</t>
  </si>
  <si>
    <t>MA3JMTB1STKF98505</t>
  </si>
  <si>
    <t>MA3YPLCSKTK284957</t>
  </si>
  <si>
    <t>JK26102378526329</t>
  </si>
  <si>
    <t>JK26102388524531</t>
  </si>
  <si>
    <t>JK26102378532328</t>
  </si>
  <si>
    <t>MOHAMMAD IMTIYAZ GUJARPANGWALA</t>
  </si>
  <si>
    <t>MBHZCDESKTH659382</t>
  </si>
  <si>
    <t>JK26102358536625</t>
  </si>
  <si>
    <t>JK03R8839</t>
  </si>
  <si>
    <t>JK03R8883</t>
  </si>
  <si>
    <t>2699429600163 </t>
  </si>
  <si>
    <t>JK15D0338</t>
  </si>
  <si>
    <t>JK15D0378</t>
  </si>
  <si>
    <t>2699429600164 </t>
  </si>
  <si>
    <t>JK01BG0577</t>
  </si>
  <si>
    <t>JK01BG0510</t>
  </si>
  <si>
    <t>2699429600166 </t>
  </si>
  <si>
    <t>JK13L9900</t>
  </si>
  <si>
    <t>2699429600167 </t>
  </si>
  <si>
    <t>AQUIB MANZOOR</t>
  </si>
  <si>
    <t>MA3SFM61STH538824</t>
  </si>
  <si>
    <t>JK26102368554616</t>
  </si>
  <si>
    <t>JK22D8155</t>
  </si>
  <si>
    <t>2699429600170 </t>
  </si>
  <si>
    <t>IRSHAD AHMAD WANI</t>
  </si>
  <si>
    <t>ZABIR HUSSAIN</t>
  </si>
  <si>
    <t>MBHKWD13STKA13368</t>
  </si>
  <si>
    <t>MBHKWD13STJA01743</t>
  </si>
  <si>
    <t>JK26102368568649</t>
  </si>
  <si>
    <t>JK26102368574994</t>
  </si>
  <si>
    <t>OWAIS NABI MAGRAY</t>
  </si>
  <si>
    <t>MUSARAD HUSSAIN BHAT</t>
  </si>
  <si>
    <t>MA3JDT08WTKG93354</t>
  </si>
  <si>
    <t>MA3SFM61STK560832</t>
  </si>
  <si>
    <t>JK26102348566354</t>
  </si>
  <si>
    <t>JK26102378572157</t>
  </si>
  <si>
    <t>JK12E3240</t>
  </si>
  <si>
    <t>2699429600184 </t>
  </si>
  <si>
    <t>JK13L1527</t>
  </si>
  <si>
    <t>MUNEEB SHOWKAT</t>
  </si>
  <si>
    <t>MOHD ABAS SHAH</t>
  </si>
  <si>
    <t>MBHZCDESKTF615696</t>
  </si>
  <si>
    <t>MA3SFM61STH538288</t>
  </si>
  <si>
    <t>JK26102338571136</t>
  </si>
  <si>
    <t>JK26102398552264</t>
  </si>
  <si>
    <t>JK13L1578</t>
  </si>
  <si>
    <t>2699429600187 </t>
  </si>
  <si>
    <t>JK05R2664</t>
  </si>
  <si>
    <t>2699429600190 </t>
  </si>
  <si>
    <t>JK03R8816</t>
  </si>
  <si>
    <t>JK03R8806</t>
  </si>
  <si>
    <t>2699429600194 </t>
  </si>
  <si>
    <t>JK01BG1008</t>
  </si>
  <si>
    <t>2699429600195 </t>
  </si>
  <si>
    <t>ARSHEED AHMAD GANIE</t>
  </si>
  <si>
    <t>MBJTYKL1STK398155</t>
  </si>
  <si>
    <t>JK26102117980342</t>
  </si>
  <si>
    <t>&lt;04-06-2026</t>
  </si>
  <si>
    <t>22-Oct</t>
  </si>
  <si>
    <t>23-Oct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</si>
</sst>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indent="2"/>
    </xf>
  </cellXfs>
  <cellStyles count="1">
    <cellStyle name="Normal" xfId="0" builtinId="0"/>
  </cellStyles>
  <dxfs count="52"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horizontal="center"/>
    </dxf>
    <dxf>
      <alignment horizontal="left"/>
    </dxf>
    <dxf>
      <alignment horizontal="left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18.744491435187" createdVersion="8" refreshedVersion="8" minRefreshableVersion="3" recordCount="1434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434"/>
    </cacheField>
    <cacheField name="DATE" numFmtId="0">
      <sharedItems containsNonDate="0" containsDate="1" containsString="0" containsBlank="1" minDate="2026-06-04T00:00:00" maxDate="2026-10-24T00:00:00" count="81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  <d v="2026-10-22T00:00:00"/>
        <d v="2026-10-23T00:00:00"/>
        <m/>
      </sharedItems>
      <fieldGroup par="18"/>
    </cacheField>
    <cacheField name="CUSTOMER NAME" numFmtId="0">
      <sharedItems containsBlank="1"/>
    </cacheField>
    <cacheField name="MARUTI" numFmtId="0">
      <sharedItems containsBlank="1" count="3">
        <s v="NEXA"/>
        <s v="ARENA"/>
        <m/>
      </sharedItems>
    </cacheField>
    <cacheField name="MODEL OR VARIANT" numFmtId="0">
      <sharedItems containsBlank="1"/>
    </cacheField>
    <cacheField name="RTO" numFmtId="0">
      <sharedItems containsBlank="1"/>
    </cacheField>
    <cacheField name="VEHICLE CLASS" numFmtId="0">
      <sharedItems containsBlank="1"/>
    </cacheField>
    <cacheField name="REG. NO" numFmtId="0">
      <sharedItems containsBlank="1"/>
    </cacheField>
    <cacheField name="VIN" numFmtId="0">
      <sharedItems containsBlank="1"/>
    </cacheField>
    <cacheField name="APPLICATION NO." numFmtId="0">
      <sharedItems containsBlank="1"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tring="0" containsBlank="1" containsNumber="1" containsInteger="1" minValue="0" maxValue="600"/>
    </cacheField>
    <cacheField name="ACCOUNT" numFmtId="0">
      <sharedItems containsBlank="1"/>
    </cacheField>
    <cacheField name="RM NAME" numFmtId="0">
      <sharedItems containsBlank="1"/>
    </cacheField>
    <cacheField name="PAYMENT MODE" numFmtId="0">
      <sharedItems containsBlank="1"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24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4-10-2026"/>
        </groupItems>
      </fieldGroup>
    </cacheField>
    <cacheField name="Months (DATE)" numFmtId="0" databaseField="0">
      <fieldGroup base="1">
        <rangePr groupBy="months" startDate="2026-06-04T00:00:00" endDate="2026-10-24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4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4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m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m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m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m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m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m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m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m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m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m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m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m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m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m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m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m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m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m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m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m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m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m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m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m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m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m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m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m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m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m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m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m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m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m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m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m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m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m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m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m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m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m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m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m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m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m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m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m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m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m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m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m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m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m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m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m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m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m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m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m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m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m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m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m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m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m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m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m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m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m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m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m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m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m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m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m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m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m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m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m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m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m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m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m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m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m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m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m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m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m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m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m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m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m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m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m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m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m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m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m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m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m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m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m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m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m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m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m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m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m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m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m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m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m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m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m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m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m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m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m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m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m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m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m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m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m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m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m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m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m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m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m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m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m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m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m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m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m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m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m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m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m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m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m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m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m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m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m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m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m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m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m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m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m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m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m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m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m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m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m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m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m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m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m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m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m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m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m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m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m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m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m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m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m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m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m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m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m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m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m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m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m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m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m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m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m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m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m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m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m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m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m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m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m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m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m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m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m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m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m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m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m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m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m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m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m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m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m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m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m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m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m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m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m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m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m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m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m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m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m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m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m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m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m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m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m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m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m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m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m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m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m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m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m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m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m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m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m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m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m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m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m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m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m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m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m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m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m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m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m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m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m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m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m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m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m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m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m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m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m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m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m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m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m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m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m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m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m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m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m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m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m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m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m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m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m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m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m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m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m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m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m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m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m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m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m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m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m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m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m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m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m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m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m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m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m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m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m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m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m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m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m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m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m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m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m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m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m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m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m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m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m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m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m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m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m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m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m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m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m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m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m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m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m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m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m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m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m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m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m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m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m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m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m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m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m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m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m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m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m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m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m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m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m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m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m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m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m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m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m/>
    <s v="COMPANY ACCOUNT FROM BADRI SIR"/>
    <x v="2"/>
    <s v="2635729200146 "/>
  </r>
  <r>
    <n v="1389"/>
    <x v="78"/>
    <s v="SHAHEENA KOUNSER"/>
    <x v="1"/>
    <s v="BREZZA ZXI TURBO"/>
    <s v="BARAMULLA ARTO (JK5)"/>
    <s v="PRIVATE"/>
    <s v="JK05R2658"/>
    <s v="MA3RYHC1STK882981"/>
    <s v="JK26102168092792"/>
    <n v="90223"/>
    <n v="600"/>
    <s v="HDFC DELHI"/>
    <m/>
    <s v="COMPANY ACCOUNT FROM BADRI SIR"/>
    <x v="2"/>
    <s v="2699429500186 "/>
  </r>
  <r>
    <n v="1390"/>
    <x v="78"/>
    <s v="SYED AIJAZ AHMAD KUBRAVI"/>
    <x v="1"/>
    <s v="ALTO K10 VXI AGS"/>
    <s v="SRINAGAR RTO (JK1)"/>
    <s v="PRIVATE"/>
    <s v="JK01BG0407"/>
    <s v="MA3SFM61STK559097"/>
    <s v="JK26102298309389"/>
    <n v="46943"/>
    <n v="600"/>
    <s v="HDFC "/>
    <m/>
    <s v="YAWAR'S ACCOUNT"/>
    <x v="2"/>
    <n v="2699429500185"/>
  </r>
  <r>
    <n v="1391"/>
    <x v="78"/>
    <s v="MOHD AMIN BHAT"/>
    <x v="0"/>
    <s v="FRONX DELTA 6AB"/>
    <s v="PULWAMA ARTO (JK13)"/>
    <s v="PRIVATE"/>
    <s v="JK13L1464"/>
    <s v="MBHKWD13STJ985366"/>
    <s v="JK26102238304314"/>
    <n v="71902"/>
    <n v="600"/>
    <s v="HDFC "/>
    <m/>
    <s v="YAWAR'S ACCOUNT"/>
    <x v="0"/>
    <n v="2699429500179"/>
  </r>
  <r>
    <n v="1392"/>
    <x v="78"/>
    <s v="RAYEES AHMAD DAR"/>
    <x v="1"/>
    <s v="ALTO K10 LXI"/>
    <s v="BUDGAM ARTO (JK4)"/>
    <s v="PRIVATE"/>
    <s v="JK04L5541"/>
    <s v="MA3SFM61STJ554798"/>
    <s v="JK26102218317046"/>
    <n v="38168"/>
    <n v="600"/>
    <s v="HDFC "/>
    <m/>
    <s v="YAWAR'S ACCOUNT"/>
    <x v="2"/>
    <s v="2699429500191 "/>
  </r>
  <r>
    <n v="1393"/>
    <x v="79"/>
    <s v="SAMEE ULLAH RESHI"/>
    <x v="1"/>
    <s v="ALTO K10 VXI+"/>
    <s v="BUDGAM ARTO (JK4)"/>
    <s v="PRIVATE"/>
    <s v="JK04L5527"/>
    <s v="MA3SFM61STH544281"/>
    <s v="JK26102368419395"/>
    <n v="47168"/>
    <n v="600"/>
    <s v="HDFC "/>
    <m/>
    <s v="YAWAR'S ACCOUNT"/>
    <x v="2"/>
    <s v="2699429600074 "/>
  </r>
  <r>
    <n v="1394"/>
    <x v="79"/>
    <s v="MOHAMMAD SYED LONE"/>
    <x v="1"/>
    <s v="SWIFT LXI"/>
    <s v="KUPWARA ARTO (JK9)"/>
    <s v="PRIVATE"/>
    <s v="JK09E9401"/>
    <s v="MBHZCDESKTG640988"/>
    <s v="JK26102328412356"/>
    <n v="54712"/>
    <n v="600"/>
    <s v="HDFC "/>
    <m/>
    <s v="YAWAR'S ACCOUNT"/>
    <x v="2"/>
    <s v="2699429600073 "/>
  </r>
  <r>
    <n v="1395"/>
    <x v="79"/>
    <s v="ASRAR AH GANAIE"/>
    <x v="1"/>
    <s v="SWIFT LXI ISS"/>
    <s v="SRINAGAR RTO (JK1)"/>
    <s v="PRIVATE"/>
    <s v="JK01BG0450"/>
    <s v="MBHZCDESKTJ668268"/>
    <s v="JK26102358423811"/>
    <n v="54712"/>
    <n v="600"/>
    <s v="HDFC "/>
    <m/>
    <s v="YAWAR'S ACCOUNT"/>
    <x v="2"/>
    <s v="2699429600071 "/>
  </r>
  <r>
    <n v="1396"/>
    <x v="79"/>
    <s v="AADIL YOQOOB BHAT"/>
    <x v="1"/>
    <s v="SWIFT LXI"/>
    <s v="ANANTNAG ARTO (JK3)"/>
    <s v="PRIVATE"/>
    <s v="JK03R8890"/>
    <s v="MBHZCDESKTH644324"/>
    <s v="JK26102398407812"/>
    <n v="54712"/>
    <n v="600"/>
    <s v="HDFC "/>
    <m/>
    <s v="YAWAR'S ACCOUNT"/>
    <x v="1"/>
    <s v="2699429600091 "/>
  </r>
  <r>
    <n v="1397"/>
    <x v="79"/>
    <s v="SABZAR AHMAD KHAN"/>
    <x v="1"/>
    <s v="BREZZA ZXI+ TURBO"/>
    <s v="ANANTNAG ARTO (JK3)"/>
    <s v="PRIVATE"/>
    <s v="JK03R8801"/>
    <s v="MA3RYHC1STK886060"/>
    <s v="JK26102388442009"/>
    <n v="103513"/>
    <n v="600"/>
    <s v="HDFC "/>
    <m/>
    <s v="YAWAR'S ACCOUNT"/>
    <x v="1"/>
    <s v="2699429600091 "/>
  </r>
  <r>
    <n v="1398"/>
    <x v="79"/>
    <s v="AAQIB GULL"/>
    <x v="1"/>
    <s v="ALTO K10 LXI"/>
    <s v="ANANTNAG ARTO (JK3)"/>
    <s v="PRIVATE"/>
    <s v="JK03R8818"/>
    <s v="MA3SFM61STK559676"/>
    <s v="JK26102348423446"/>
    <n v="38168"/>
    <n v="600"/>
    <s v="HDFC "/>
    <m/>
    <s v="YAWAR'S ACCOUNT"/>
    <x v="1"/>
    <s v="2699429600091 "/>
  </r>
  <r>
    <n v="1399"/>
    <x v="79"/>
    <s v="AKEEL AHMAD"/>
    <x v="1"/>
    <s v="VICTORIS LXI"/>
    <s v="ANANTNAG ARTO (JK3)"/>
    <s v="PRIVATE"/>
    <s v="JK03R8854"/>
    <s v="MA3YPLCSKTK286132"/>
    <s v="JK26102318436877"/>
    <n v="96676"/>
    <n v="600"/>
    <s v="HDFC "/>
    <m/>
    <s v="YAWAR'S ACCOUNT"/>
    <x v="1"/>
    <s v="2699429600091 "/>
  </r>
  <r>
    <n v="1400"/>
    <x v="79"/>
    <s v="ADIL AHMAD BHAT"/>
    <x v="1"/>
    <s v="ALTO K10 LXI"/>
    <s v="ANANTNAG ARTO (JK3)"/>
    <s v="PRIVATE"/>
    <s v="JK03R8815"/>
    <s v="MA3SFM61STJ554736"/>
    <s v="JK26102378427970"/>
    <n v="38168"/>
    <n v="600"/>
    <s v="HDFC "/>
    <m/>
    <s v="YAWAR'S ACCOUNT"/>
    <x v="1"/>
    <s v="2699429600091 "/>
  </r>
  <r>
    <n v="1401"/>
    <x v="79"/>
    <s v="IMTIYAZ AHMAD KHAN"/>
    <x v="1"/>
    <s v="ALTO K10 VXI+"/>
    <s v="ANANTNAG ARTO (JK3)"/>
    <s v="PRIVATE"/>
    <s v="JK03R8827"/>
    <s v="MA3SFM61STH536354"/>
    <s v="JK26102398410428"/>
    <n v="47168"/>
    <n v="600"/>
    <s v="HDFC "/>
    <m/>
    <s v="YAWAR'S ACCOUNT"/>
    <x v="1"/>
    <s v="2699429600091 "/>
  </r>
  <r>
    <n v="1402"/>
    <x v="79"/>
    <s v="MANZOOR AHMAD BHAT"/>
    <x v="1"/>
    <s v="VICTORIS LXI"/>
    <s v="KULGAM ARTO (JK18)"/>
    <s v="PRIVATE"/>
    <s v="JK18E7642"/>
    <s v="MA3YPLCSKTK282012"/>
    <s v="JK26102358405740"/>
    <n v="96676"/>
    <n v="600"/>
    <s v="HDFC "/>
    <m/>
    <s v="YAWAR'S ACCOUNT"/>
    <x v="1"/>
    <s v="2699429600095 "/>
  </r>
  <r>
    <n v="1403"/>
    <x v="79"/>
    <s v="MASARAT JAN"/>
    <x v="1"/>
    <s v="ALTO K10 LXI"/>
    <s v="SHOPIAN ARTO (JK22)"/>
    <s v="PRIVATE"/>
    <s v="JK22D8161"/>
    <s v="MA3SFM61STK561699"/>
    <s v="JK26102388415728"/>
    <n v="38168"/>
    <n v="600"/>
    <s v="HDFC "/>
    <m/>
    <s v="YAWAR'S ACCOUNT"/>
    <x v="1"/>
    <s v="2699429600092 "/>
  </r>
  <r>
    <n v="1404"/>
    <x v="79"/>
    <s v="SHOWKAT AHMAD WAGAY"/>
    <x v="1"/>
    <s v="ALTO K10 VXI+"/>
    <s v="SHOPIAN ARTO (JK22)"/>
    <s v="PRIVATE"/>
    <s v="JK22D8105"/>
    <s v="MA3SFM61STK563203"/>
    <s v="JK26102388446891"/>
    <n v="45668"/>
    <n v="600"/>
    <s v="HDFC "/>
    <m/>
    <s v="YAWAR'S ACCOUNT"/>
    <x v="1"/>
    <s v="2699429600092 "/>
  </r>
  <r>
    <n v="1405"/>
    <x v="79"/>
    <s v="MOHD YOUNUS BHAT"/>
    <x v="1"/>
    <s v="SWIFT VXI (O) ISS"/>
    <s v="SHOPIAN ARTO (JK22)"/>
    <s v="PRIVATE"/>
    <s v="JK22D8172"/>
    <s v="MBHZCDESKTJ672895"/>
    <s v="JK26102398430643"/>
    <n v="64612"/>
    <n v="600"/>
    <s v="HDFC "/>
    <m/>
    <s v="YAWAR'S ACCOUNT"/>
    <x v="1"/>
    <s v="2699429600092 "/>
  </r>
  <r>
    <n v="1406"/>
    <x v="79"/>
    <s v="JAHANGIR AHMED PAL"/>
    <x v="1"/>
    <s v="ALTO K10 VXI+"/>
    <s v="SHOPIAN ARTO (JK22)"/>
    <s v="PRIVATE"/>
    <s v="JK22D8197"/>
    <s v="MA3SFM61STJ549136"/>
    <s v="JK26102358420659"/>
    <n v="47168"/>
    <n v="600"/>
    <s v="HDFC "/>
    <m/>
    <s v="YAWAR'S ACCOUNT"/>
    <x v="1"/>
    <s v="2699429600092 "/>
  </r>
  <r>
    <n v="1407"/>
    <x v="79"/>
    <s v="NAWAZ NANDA"/>
    <x v="1"/>
    <s v="SWIFT LXI"/>
    <s v="SRINAGAR RTO (JK1)"/>
    <s v="PRIVATE"/>
    <s v="JK01BG0534"/>
    <s v="MBHZCDESKTH661992"/>
    <s v="JK26102398442185"/>
    <n v="54712"/>
    <n v="600"/>
    <s v="HDFC "/>
    <m/>
    <s v="YAWAR'S ACCOUNT"/>
    <x v="1"/>
    <n v="2699429600120"/>
  </r>
  <r>
    <n v="1408"/>
    <x v="79"/>
    <s v="SHAFKAT MIR"/>
    <x v="1"/>
    <s v="ALTO K10 LXI"/>
    <s v="BARAMULLA ARTO (JK5)"/>
    <s v="PRIVATE"/>
    <s v="JK05R2640"/>
    <s v="MA3SFM61STK559814"/>
    <s v="JK26102348460416"/>
    <n v="38168"/>
    <n v="600"/>
    <s v="HDFC "/>
    <m/>
    <s v="YAWAR'S ACCOUNT"/>
    <x v="2"/>
    <s v="2699429600094 "/>
  </r>
  <r>
    <n v="1409"/>
    <x v="79"/>
    <s v="RAMIZ AHMAD RATHER"/>
    <x v="1"/>
    <s v="ALTO K10 LXI"/>
    <s v="KULGAM ARTO (JK18)"/>
    <s v="PRIVATE"/>
    <s v="JK18E7694"/>
    <s v="MA3SFM61STK563506"/>
    <s v="JK26102388492145"/>
    <n v="36668"/>
    <n v="600"/>
    <s v="HDFC "/>
    <m/>
    <s v="YAWAR'S ACCOUNT"/>
    <x v="1"/>
    <s v="2699429600122 "/>
  </r>
  <r>
    <n v="1410"/>
    <x v="79"/>
    <s v="MOHAMMAD YOUNUS DAR"/>
    <x v="1"/>
    <s v="SWIFT VXI ISS"/>
    <s v="KULGAM ARTO (JK18)"/>
    <s v="PRIVATE"/>
    <s v="JK18E7634"/>
    <s v="MBHZCDESKTK698299"/>
    <s v="JK26102318488994"/>
    <n v="62272"/>
    <n v="600"/>
    <s v="HDFC "/>
    <m/>
    <s v="YAWAR'S ACCOUNT"/>
    <x v="1"/>
    <s v="2699429600122 "/>
  </r>
  <r>
    <n v="1411"/>
    <x v="79"/>
    <s v="GHULAM RASOOL BHAT"/>
    <x v="1"/>
    <s v="VICTORIS VXI"/>
    <s v="ANANTNAG ARTO (JK3)"/>
    <s v="PRIVATE"/>
    <s v="JK03R8859"/>
    <s v="MA3YPLCSKTK277338"/>
    <s v="JK26102378501492"/>
    <n v="108826"/>
    <n v="600"/>
    <s v="HDFC "/>
    <m/>
    <s v="YAWAR'S ACCOUNT"/>
    <x v="1"/>
    <n v="2699429600123"/>
  </r>
  <r>
    <n v="1412"/>
    <x v="79"/>
    <s v="IRSHAD AHMAD LONE"/>
    <x v="0"/>
    <s v="FRONX DELTA+ 6AB"/>
    <s v="PULWAMA ARTO (JK13)"/>
    <s v="PRIVATE"/>
    <s v="JK13L1503"/>
    <s v="MBHKWD13STKA11814"/>
    <s v="JK26102328518279"/>
    <n v="75466"/>
    <n v="600"/>
    <s v="HDFC "/>
    <m/>
    <s v="YAWAR'S ACCOUNT"/>
    <x v="0"/>
    <s v="2699429600160 "/>
  </r>
  <r>
    <n v="1413"/>
    <x v="79"/>
    <s v="BASHIR AHMAD DAR"/>
    <x v="0"/>
    <s v="FRONX DELTA+ 6AB"/>
    <s v="SRINAGAR RTO (JK1)"/>
    <s v="PRIVATE"/>
    <s v="JK01BG0544"/>
    <s v="MBHKWD13STH969509"/>
    <s v="JK26102378469098"/>
    <n v="75466"/>
    <n v="600"/>
    <s v="HDFC "/>
    <m/>
    <s v="YAWAR'S ACCOUNT"/>
    <x v="0"/>
    <s v="2699429600145 "/>
  </r>
  <r>
    <n v="1414"/>
    <x v="79"/>
    <s v="RAFIQ AHMAD BUDOO"/>
    <x v="1"/>
    <s v="BREZZA LXI TURBO"/>
    <s v="BARAMULLA ARTO (JK5)"/>
    <s v="PRIVATE"/>
    <s v="JK05R7555"/>
    <s v="MA3RYHC1STK883903"/>
    <s v="JK26102378476276"/>
    <n v="69673"/>
    <n v="600"/>
    <s v="HDFC "/>
    <m/>
    <s v="YAWAR'S ACCOUNT"/>
    <x v="2"/>
    <s v="2699429600144 "/>
  </r>
  <r>
    <n v="1415"/>
    <x v="79"/>
    <s v="MUSHTAQ AHMAD LONE"/>
    <x v="1"/>
    <s v="SWIFT LXI"/>
    <s v="BUDGAM ARTO (JK4)"/>
    <s v="PRIVATE"/>
    <s v="JK04L5530"/>
    <s v="MBHZCDESKTH659003"/>
    <s v="JK26102368514251"/>
    <n v="54712"/>
    <n v="600"/>
    <s v="HDFC "/>
    <m/>
    <s v="YAWAR'S ACCOUNT"/>
    <x v="2"/>
    <n v="2699429600146"/>
  </r>
  <r>
    <n v="1416"/>
    <x v="79"/>
    <s v="FAROOQ AHMAD SHEIKH"/>
    <x v="1"/>
    <s v="ALTO K10 LXI"/>
    <s v="BUDGAM ARTO (JK4)"/>
    <s v="PRIVATE"/>
    <s v="JK04L5509"/>
    <s v="MA3SFM61STK560947"/>
    <s v="JK26102348513446"/>
    <n v="38168"/>
    <n v="600"/>
    <s v="HDFC "/>
    <m/>
    <s v="YAWAR'S ACCOUNT"/>
    <x v="2"/>
    <n v="2699429600146"/>
  </r>
  <r>
    <n v="1417"/>
    <x v="79"/>
    <s v="RIYAZ AHMAD RATHER"/>
    <x v="1"/>
    <s v="SWIFT LXI"/>
    <s v="KUPWARA ARTO (JK9)"/>
    <s v="PRIVATE"/>
    <s v="JK09E9410"/>
    <s v="MBHZCDESKTH658016"/>
    <s v="JK26102318516017"/>
    <n v="54712"/>
    <n v="600"/>
    <s v="HDFC "/>
    <m/>
    <s v="YAWAR'S ACCOUNT"/>
    <x v="2"/>
    <s v="2699429600147 "/>
  </r>
  <r>
    <n v="1418"/>
    <x v="79"/>
    <s v="FAIZAN BASHIR MAGRAY"/>
    <x v="1"/>
    <s v="VICTORIS VXI"/>
    <s v="ANANTNAG ARTO (JK3)"/>
    <s v="PRIVATE"/>
    <s v="JK03R8883"/>
    <s v="MA3YPLCSKTK280690"/>
    <s v="JK26102398533835"/>
    <n v="108826"/>
    <n v="600"/>
    <s v="HDFC "/>
    <m/>
    <s v="YAWAR'S ACCOUNT"/>
    <x v="1"/>
    <s v="2699429600163 "/>
  </r>
  <r>
    <n v="1419"/>
    <x v="79"/>
    <s v="YASIR MOHAMAD DAR"/>
    <x v="1"/>
    <s v="VICTORIS LXI"/>
    <s v="ANANTNAG ARTO (JK3)"/>
    <s v="PRIVATE"/>
    <s v="JK03R8839"/>
    <s v="MA3YPLCSKTH257303"/>
    <s v="JK26102368510954"/>
    <n v="95176"/>
    <n v="600"/>
    <s v="HDFC "/>
    <m/>
    <s v="YAWAR'S ACCOUNT"/>
    <x v="1"/>
    <s v="2699429600163 "/>
  </r>
  <r>
    <n v="1420"/>
    <x v="79"/>
    <s v="JUGENDRA SINGH"/>
    <x v="1"/>
    <s v="DZIRE ZXI+ ISS"/>
    <s v="BANDIPORA ARTO (JK15)"/>
    <s v="PRIVATE"/>
    <m/>
    <s v="MA3ZFDFSKTK607892"/>
    <s v="JK26102138053779"/>
    <n v="10794"/>
    <n v="600"/>
    <s v="HDFC "/>
    <m/>
    <s v="YAWAR'S ACCOUNT"/>
    <x v="1"/>
    <s v="2699429600164 "/>
  </r>
  <r>
    <n v="1421"/>
    <x v="79"/>
    <s v="FAROOZ AHMAD BHAT"/>
    <x v="1"/>
    <s v="BREZZA ZXI+ TURBO"/>
    <s v="PULWAMA ARTO (JK13)"/>
    <s v="PRIVATE"/>
    <s v="JK13L9900"/>
    <s v="MA3RYHC1STK884912"/>
    <s v="JK26102348515114"/>
    <n v="104917"/>
    <n v="600"/>
    <s v="HDFC "/>
    <m/>
    <s v="YAWAR'S ACCOUNT"/>
    <x v="1"/>
    <s v="2699429600167 "/>
  </r>
  <r>
    <n v="1422"/>
    <x v="79"/>
    <s v="MOHAMMAD YASEEN BHAT"/>
    <x v="1"/>
    <s v="ALTO K10 LXI"/>
    <s v="BANDIPORA ARTO (JK15)"/>
    <s v="PRIVATE"/>
    <s v="JK15D0338"/>
    <s v="MA3SFM61STK560961"/>
    <s v="JK26102378526329"/>
    <n v="38168"/>
    <n v="600"/>
    <s v="HDFC "/>
    <m/>
    <s v="YAWAR'S ACCOUNT"/>
    <x v="2"/>
    <s v="2699429600164 "/>
  </r>
  <r>
    <n v="1423"/>
    <x v="79"/>
    <s v="MOHAMMAD IMTIYAZ GUJARPANGWALA"/>
    <x v="1"/>
    <s v="SWIFT LXI"/>
    <s v="BANDIPORA ARTO (JK15)"/>
    <s v="PRIVATE"/>
    <s v="JK15D0378"/>
    <s v="MBHZCDESKTH659382"/>
    <s v="JK26102358536625"/>
    <n v="54712"/>
    <n v="600"/>
    <s v="HDFC "/>
    <m/>
    <s v="YAWAR'S ACCOUNT"/>
    <x v="2"/>
    <s v="2699429600164 "/>
  </r>
  <r>
    <n v="1424"/>
    <x v="79"/>
    <s v="SHAHNAWAZ NABI LANGOO"/>
    <x v="1"/>
    <s v="WAGON R LXI"/>
    <s v="SRINAGAR RTO (JK1)"/>
    <s v="PRIVATE"/>
    <s v="JK01BG0577"/>
    <s v="MA3JMTB1STKF98505"/>
    <s v="JK26102388524531"/>
    <n v="47081"/>
    <n v="600"/>
    <s v="HDFC "/>
    <m/>
    <s v="YAWAR'S ACCOUNT"/>
    <x v="2"/>
    <s v="2699429600166 "/>
  </r>
  <r>
    <n v="1425"/>
    <x v="79"/>
    <s v="SHAHNAWAZ RAFIQ"/>
    <x v="1"/>
    <s v="VICTORIS ZXI(O)"/>
    <s v="SRINAGAR RTO (JK1)"/>
    <s v="PRIVATE"/>
    <s v="JK01BG0510"/>
    <s v="MA3YPLCSKTK284957"/>
    <s v="JK26102378532328"/>
    <n v="125395"/>
    <n v="600"/>
    <s v="HDFC "/>
    <m/>
    <s v="YAWAR'S ACCOUNT"/>
    <x v="2"/>
    <s v="2699429600166 "/>
  </r>
  <r>
    <n v="1426"/>
    <x v="79"/>
    <s v="AQUIB MANZOOR"/>
    <x v="1"/>
    <s v="ALTO K10 VXI"/>
    <s v="SHOPIAN ARTO (JK22)"/>
    <s v="PRIVATE"/>
    <s v="JK22D8155"/>
    <s v="MA3SFM61STH538824"/>
    <s v="JK26102368554616"/>
    <n v="42892"/>
    <n v="600"/>
    <s v="HDFC "/>
    <m/>
    <s v="YAWAR'S ACCOUNT"/>
    <x v="2"/>
    <s v="2699429600170 "/>
  </r>
  <r>
    <n v="1427"/>
    <x v="79"/>
    <s v="IRSHAD AHMAD WANI"/>
    <x v="0"/>
    <s v="FRONX SIGMA 6AB"/>
    <s v="PULWAMA ARTO (JK13)"/>
    <s v="PRIVATE"/>
    <s v="JK13L1527"/>
    <s v="MBHKWD13STKA13368"/>
    <s v="JK26102368568649"/>
    <n v="64252"/>
    <n v="600"/>
    <s v="HDFC "/>
    <m/>
    <s v="YAWAR'S ACCOUNT"/>
    <x v="0"/>
    <n v="2699429600182"/>
  </r>
  <r>
    <n v="1428"/>
    <x v="79"/>
    <s v="ZABIR HUSSAIN"/>
    <x v="0"/>
    <s v="FRONX SIGMA 6AB"/>
    <s v="POONCH ARTO (JK12)"/>
    <s v="PRIVATE"/>
    <s v="JK12E3240"/>
    <s v="MBHKWD13STJA01743"/>
    <s v="JK26102368574994"/>
    <n v="64252"/>
    <n v="600"/>
    <s v="HDFC "/>
    <m/>
    <s v="YAWAR'S ACCOUNT"/>
    <x v="0"/>
    <s v="2699429600184 "/>
  </r>
  <r>
    <n v="1429"/>
    <x v="79"/>
    <s v="OWAIS NABI MAGRAY"/>
    <x v="1"/>
    <s v="EECO 5 STR STD"/>
    <s v="BARAMULLA ARTO (JK5)"/>
    <s v="PRIVATE"/>
    <s v="JK05R2664"/>
    <s v="MA3JDT08WTKG93354"/>
    <s v="JK26102348566354"/>
    <n v="49727"/>
    <n v="600"/>
    <s v="HDFC "/>
    <m/>
    <s v="YAWAR'S ACCOUNT"/>
    <x v="2"/>
    <s v="2699429600190 "/>
  </r>
  <r>
    <n v="1430"/>
    <x v="79"/>
    <s v="MUSARAD HUSSAIN BHAT"/>
    <x v="1"/>
    <s v="ALTO K10 LXI"/>
    <s v="PULWAMA ARTO (JK13)"/>
    <s v="PRIVATE"/>
    <s v="JK13L1578"/>
    <s v="MA3SFM61STK560832"/>
    <s v="JK26102378572157"/>
    <n v="38168"/>
    <n v="600"/>
    <s v="HDFC "/>
    <m/>
    <s v="YAWAR'S ACCOUNT"/>
    <x v="2"/>
    <s v="2699429600187 "/>
  </r>
  <r>
    <n v="1431"/>
    <x v="79"/>
    <s v="MUNEEB SHOWKAT"/>
    <x v="1"/>
    <s v="SWIFT ZXI"/>
    <s v="ANANTNAG ARTO (JK3)"/>
    <s v="PRIVATE"/>
    <s v="JK03R8806"/>
    <s v="MBHZCDESKTF615696"/>
    <s v="JK26102338571136"/>
    <n v="70732"/>
    <n v="600"/>
    <s v="HDFC "/>
    <m/>
    <s v="YAWAR'S ACCOUNT"/>
    <x v="1"/>
    <s v="2699429600194 "/>
  </r>
  <r>
    <n v="1432"/>
    <x v="79"/>
    <s v="MOHD ABAS SHAH"/>
    <x v="1"/>
    <s v="ALTO K10 VXI"/>
    <s v="ANANTNAG ARTO (JK3)"/>
    <s v="PRIVATE"/>
    <s v="JK03R8816"/>
    <s v="MA3SFM61STH538288"/>
    <s v="JK26102398552264"/>
    <n v="42892"/>
    <n v="600"/>
    <s v="HDFC "/>
    <m/>
    <s v="YAWAR'S ACCOUNT"/>
    <x v="1"/>
    <s v="2699429600194 "/>
  </r>
  <r>
    <n v="1433"/>
    <x v="79"/>
    <s v="ARSHEED AHMAD GANIE"/>
    <x v="0"/>
    <s v="G VITARA SMTHYBRID SIGMA"/>
    <s v="SRINAGAR RTO (JK1)"/>
    <s v="PRIVATE"/>
    <s v="JK01BG1008"/>
    <s v="MBJTYKL1STK398155"/>
    <s v="JK26102117980342"/>
    <n v="99045"/>
    <n v="600"/>
    <s v="HDFC "/>
    <m/>
    <s v="YAWAR'S ACCOUNT"/>
    <x v="0"/>
    <s v="2699429600195 "/>
  </r>
  <r>
    <n v="1434"/>
    <x v="80"/>
    <m/>
    <x v="2"/>
    <m/>
    <m/>
    <m/>
    <m/>
    <m/>
    <m/>
    <m/>
    <m/>
    <m/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31" firstHeaderRow="1" firstDataRow="2" firstDataCol="1"/>
  <pivotFields count="19">
    <pivotField showAll="0"/>
    <pivotField numFmtId="14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showAll="0"/>
    <pivotField axis="axisRow" multipleItemSelectionAllowed="1" showAll="0">
      <items count="4">
        <item sd="0" x="1"/>
        <item sd="0" x="0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7">
    <i>
      <x/>
    </i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r="1">
      <x v="296"/>
    </i>
    <i r="1">
      <x v="297"/>
    </i>
    <i r="2">
      <x/>
    </i>
    <i r="2">
      <x v="1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4">
    <format dxfId="30">
      <pivotArea type="all" dataOnly="0" outline="0" fieldPosition="0"/>
    </format>
    <format dxfId="31">
      <pivotArea type="all" dataOnly="0" outline="0" fieldPosition="0"/>
    </format>
    <format dxfId="32">
      <pivotArea type="origin" dataOnly="0" labelOnly="1" outline="0" fieldPosition="0"/>
    </format>
    <format dxfId="3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435" totalsRowShown="0" dataDxfId="51">
  <autoFilter ref="A1:Q1435" xr:uid="{AE792750-00FD-482D-8AEB-8405C54BCAF6}"/>
  <tableColumns count="17">
    <tableColumn id="1" xr3:uid="{80173DA0-3FD2-4C4C-A0CA-8C43E67DB282}" name="S.NO" dataDxfId="50">
      <calculatedColumnFormula>ROW()-1</calculatedColumnFormula>
    </tableColumn>
    <tableColumn id="2" xr3:uid="{ABFF24A4-0815-4538-8183-68C5984D3EF0}" name="DATE" dataDxfId="49"/>
    <tableColumn id="3" xr3:uid="{DA2615C9-2C7D-4270-B0A1-A71D6521C177}" name="CUSTOMER NAME" dataDxfId="48"/>
    <tableColumn id="4" xr3:uid="{943A0081-AFC6-463C-8F4D-06A87156D6C0}" name="MARUTI" dataDxfId="47"/>
    <tableColumn id="5" xr3:uid="{4EDBDA84-C291-4B29-9707-CCF18D99E2C4}" name="MODEL OR VARIANT" dataDxfId="46"/>
    <tableColumn id="6" xr3:uid="{D0E6D2AD-24AE-4425-ACB5-1A4C21C49EDA}" name="RTO" dataDxfId="45"/>
    <tableColumn id="7" xr3:uid="{21C42BB2-639C-4AD5-8714-4A991A676101}" name="VEHICLE CLASS" dataDxfId="44"/>
    <tableColumn id="8" xr3:uid="{4AB850B5-E035-43E0-B22C-528AFF16227D}" name="REG. NO" dataDxfId="43"/>
    <tableColumn id="9" xr3:uid="{151E74E9-C5BB-49B5-A761-3CC2EE3FFA8F}" name="VIN" dataDxfId="42"/>
    <tableColumn id="10" xr3:uid="{A11683D1-728D-4264-A750-F0288A98DC1B}" name="APPLICATION NO." dataDxfId="41"/>
    <tableColumn id="11" xr3:uid="{48122D1A-9594-49E1-8BE9-AE6493F5DCF1}" name="RTO AMMOUNT " dataDxfId="40"/>
    <tableColumn id="12" xr3:uid="{1AACBF9C-AE1D-4C49-A5E5-D58EC4001487}" name="HSRP" dataDxfId="39"/>
    <tableColumn id="13" xr3:uid="{93AA1709-836B-4CBC-BFDC-C8C731759EFB}" name="ACCOUNT" dataDxfId="38"/>
    <tableColumn id="14" xr3:uid="{089B1B28-B423-4AE5-9B46-B02F9B6EF8DE}" name="RM NAME" dataDxfId="37"/>
    <tableColumn id="15" xr3:uid="{99DBAA1B-1CBA-41A4-9FEE-BB2CE302DB3A}" name="PAYMENT MODE" dataDxfId="36"/>
    <tableColumn id="16" xr3:uid="{7DC8BE89-FBC1-47B3-968F-FC03E6208C5D}" name="FILE PUNCHED BY" dataDxfId="35"/>
    <tableColumn id="17" xr3:uid="{37B74285-FFD1-464F-B2B5-3E803549F0C1}" name="PAYMENT ID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437"/>
  <sheetViews>
    <sheetView topLeftCell="E1407" zoomScaleNormal="100" workbookViewId="0">
      <selection activeCell="H1425" sqref="H1425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8.5703125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/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/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/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/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/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/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/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/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/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/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/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/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/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/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/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/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/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/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/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/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/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/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/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8"/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8"/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8"/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8"/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8"/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8"/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8"/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8"/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8"/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8"/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8"/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8"/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8"/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8"/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8"/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8"/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8"/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8"/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8"/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8"/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8"/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8"/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8"/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8"/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8"/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8"/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8"/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8"/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8"/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8"/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8"/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8"/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8"/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8"/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8"/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8"/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8"/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8"/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8"/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8"/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8"/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8"/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8"/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8"/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8"/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8"/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8"/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8"/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8"/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8"/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8"/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8"/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8"/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/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8"/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8"/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8"/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/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/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/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/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/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/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/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/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/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/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/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/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/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/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/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/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/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/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/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/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/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/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/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/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/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/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/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/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/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/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/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/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/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/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/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/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/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/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/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/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/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/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/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/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/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/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/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/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/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/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/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/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/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/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/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/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/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/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/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/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/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/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/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/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/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/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/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/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/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/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/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/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 t="shared" ref="A1386:A1392" si="173"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/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 t="shared" si="173"/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/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 t="shared" si="173"/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/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 t="shared" si="173"/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/>
      <c r="O1389" s="6" t="s">
        <v>25</v>
      </c>
      <c r="P1389" s="6" t="s">
        <v>100</v>
      </c>
      <c r="Q1389" s="10" t="s">
        <v>6297</v>
      </c>
    </row>
    <row r="1390" spans="1:17" x14ac:dyDescent="0.25">
      <c r="A1390" s="8">
        <f t="shared" si="173"/>
        <v>1389</v>
      </c>
      <c r="B1390" s="9">
        <v>46317</v>
      </c>
      <c r="C1390" s="6" t="s">
        <v>6309</v>
      </c>
      <c r="D1390" s="6" t="s">
        <v>99</v>
      </c>
      <c r="E1390" s="6" t="s">
        <v>1178</v>
      </c>
      <c r="F1390" s="6" t="s">
        <v>94</v>
      </c>
      <c r="G1390" s="6" t="s">
        <v>20</v>
      </c>
      <c r="H1390" s="6" t="s">
        <v>6315</v>
      </c>
      <c r="I1390" s="6" t="s">
        <v>6311</v>
      </c>
      <c r="J1390" s="6" t="s">
        <v>6313</v>
      </c>
      <c r="K1390" s="6">
        <v>90223</v>
      </c>
      <c r="L1390" s="6">
        <v>600</v>
      </c>
      <c r="M1390" s="6" t="s">
        <v>26</v>
      </c>
      <c r="N1390" s="6"/>
      <c r="O1390" s="6" t="s">
        <v>25</v>
      </c>
      <c r="P1390" s="8" t="s">
        <v>100</v>
      </c>
      <c r="Q1390" s="10" t="s">
        <v>6316</v>
      </c>
    </row>
    <row r="1391" spans="1:17" x14ac:dyDescent="0.25">
      <c r="A1391" s="8">
        <f t="shared" si="173"/>
        <v>1390</v>
      </c>
      <c r="B1391" s="9">
        <v>46317</v>
      </c>
      <c r="C1391" s="6" t="s">
        <v>6310</v>
      </c>
      <c r="D1391" s="6" t="s">
        <v>99</v>
      </c>
      <c r="E1391" s="6" t="s">
        <v>116</v>
      </c>
      <c r="F1391" s="6" t="s">
        <v>97</v>
      </c>
      <c r="G1391" s="6" t="s">
        <v>20</v>
      </c>
      <c r="H1391" s="6" t="s">
        <v>6317</v>
      </c>
      <c r="I1391" s="6" t="s">
        <v>6312</v>
      </c>
      <c r="J1391" s="6" t="s">
        <v>6314</v>
      </c>
      <c r="K1391" s="6">
        <v>46943</v>
      </c>
      <c r="L1391" s="6">
        <v>600</v>
      </c>
      <c r="M1391" s="6" t="s">
        <v>6325</v>
      </c>
      <c r="N1391" s="6"/>
      <c r="O1391" s="6" t="s">
        <v>6326</v>
      </c>
      <c r="P1391" s="8" t="s">
        <v>100</v>
      </c>
      <c r="Q1391" s="10">
        <v>2699429500185</v>
      </c>
    </row>
    <row r="1392" spans="1:17" x14ac:dyDescent="0.25">
      <c r="A1392" s="8">
        <f t="shared" si="173"/>
        <v>1391</v>
      </c>
      <c r="B1392" s="9">
        <v>46317</v>
      </c>
      <c r="C1392" s="6" t="s">
        <v>306</v>
      </c>
      <c r="D1392" s="6" t="s">
        <v>18</v>
      </c>
      <c r="E1392" s="6" t="s">
        <v>19</v>
      </c>
      <c r="F1392" s="6" t="s">
        <v>95</v>
      </c>
      <c r="G1392" s="6" t="s">
        <v>20</v>
      </c>
      <c r="H1392" s="6" t="s">
        <v>6320</v>
      </c>
      <c r="I1392" s="6" t="s">
        <v>6318</v>
      </c>
      <c r="J1392" s="6" t="s">
        <v>6319</v>
      </c>
      <c r="K1392" s="6">
        <v>71902</v>
      </c>
      <c r="L1392" s="6">
        <v>600</v>
      </c>
      <c r="M1392" s="6" t="s">
        <v>6325</v>
      </c>
      <c r="N1392" s="6"/>
      <c r="O1392" s="6" t="s">
        <v>6326</v>
      </c>
      <c r="P1392" s="8" t="s">
        <v>27</v>
      </c>
      <c r="Q1392" s="10">
        <v>2699429500179</v>
      </c>
    </row>
    <row r="1393" spans="1:17" x14ac:dyDescent="0.25">
      <c r="A1393" s="8">
        <f>ROW()-1</f>
        <v>1392</v>
      </c>
      <c r="B1393" s="9">
        <v>46317</v>
      </c>
      <c r="C1393" s="6" t="s">
        <v>835</v>
      </c>
      <c r="D1393" s="6" t="s">
        <v>99</v>
      </c>
      <c r="E1393" s="6" t="s">
        <v>69</v>
      </c>
      <c r="F1393" s="6" t="s">
        <v>183</v>
      </c>
      <c r="G1393" s="6" t="s">
        <v>20</v>
      </c>
      <c r="H1393" s="6" t="s">
        <v>6321</v>
      </c>
      <c r="I1393" s="6" t="s">
        <v>6323</v>
      </c>
      <c r="J1393" s="6" t="s">
        <v>6324</v>
      </c>
      <c r="K1393" s="6">
        <v>38168</v>
      </c>
      <c r="L1393" s="6">
        <v>600</v>
      </c>
      <c r="M1393" s="6" t="s">
        <v>6325</v>
      </c>
      <c r="N1393" s="6"/>
      <c r="O1393" s="6" t="s">
        <v>6326</v>
      </c>
      <c r="P1393" s="8" t="s">
        <v>100</v>
      </c>
      <c r="Q1393" s="10" t="s">
        <v>6322</v>
      </c>
    </row>
    <row r="1394" spans="1:17" x14ac:dyDescent="0.25">
      <c r="A1394" s="8">
        <f>ROW()-1</f>
        <v>1393</v>
      </c>
      <c r="B1394" s="9">
        <v>46318</v>
      </c>
      <c r="C1394" s="6" t="s">
        <v>6327</v>
      </c>
      <c r="D1394" s="6" t="s">
        <v>99</v>
      </c>
      <c r="E1394" s="6" t="s">
        <v>113</v>
      </c>
      <c r="F1394" s="6" t="s">
        <v>183</v>
      </c>
      <c r="G1394" s="6" t="s">
        <v>20</v>
      </c>
      <c r="H1394" s="6" t="s">
        <v>6340</v>
      </c>
      <c r="I1394" s="6" t="s">
        <v>6330</v>
      </c>
      <c r="J1394" s="6" t="s">
        <v>6333</v>
      </c>
      <c r="K1394" s="6">
        <v>47168</v>
      </c>
      <c r="L1394" s="6">
        <v>600</v>
      </c>
      <c r="M1394" s="6" t="s">
        <v>6325</v>
      </c>
      <c r="N1394" s="6"/>
      <c r="O1394" s="6" t="s">
        <v>6326</v>
      </c>
      <c r="P1394" s="8" t="s">
        <v>100</v>
      </c>
      <c r="Q1394" s="10" t="s">
        <v>6341</v>
      </c>
    </row>
    <row r="1395" spans="1:17" x14ac:dyDescent="0.25">
      <c r="A1395" s="8">
        <f>ROW()-1</f>
        <v>1394</v>
      </c>
      <c r="B1395" s="9">
        <v>46318</v>
      </c>
      <c r="C1395" s="6" t="s">
        <v>6328</v>
      </c>
      <c r="D1395" s="6" t="s">
        <v>99</v>
      </c>
      <c r="E1395" s="6" t="s">
        <v>68</v>
      </c>
      <c r="F1395" s="6" t="s">
        <v>243</v>
      </c>
      <c r="G1395" s="6" t="s">
        <v>20</v>
      </c>
      <c r="H1395" s="6" t="s">
        <v>6338</v>
      </c>
      <c r="I1395" s="6" t="s">
        <v>6331</v>
      </c>
      <c r="J1395" s="6" t="s">
        <v>6334</v>
      </c>
      <c r="K1395" s="6">
        <v>54712</v>
      </c>
      <c r="L1395" s="6">
        <v>600</v>
      </c>
      <c r="M1395" s="6" t="s">
        <v>6325</v>
      </c>
      <c r="N1395" s="6"/>
      <c r="O1395" s="6" t="s">
        <v>6326</v>
      </c>
      <c r="P1395" s="8" t="s">
        <v>100</v>
      </c>
      <c r="Q1395" s="10" t="s">
        <v>6339</v>
      </c>
    </row>
    <row r="1396" spans="1:17" x14ac:dyDescent="0.25">
      <c r="A1396" s="8">
        <f>ROW()-1</f>
        <v>1395</v>
      </c>
      <c r="B1396" s="9">
        <v>46318</v>
      </c>
      <c r="C1396" s="6" t="s">
        <v>6329</v>
      </c>
      <c r="D1396" s="6" t="s">
        <v>99</v>
      </c>
      <c r="E1396" s="6" t="s">
        <v>4646</v>
      </c>
      <c r="F1396" s="6" t="s">
        <v>97</v>
      </c>
      <c r="G1396" s="6" t="s">
        <v>20</v>
      </c>
      <c r="H1396" s="6" t="s">
        <v>6336</v>
      </c>
      <c r="I1396" s="6" t="s">
        <v>6332</v>
      </c>
      <c r="J1396" s="6" t="s">
        <v>6335</v>
      </c>
      <c r="K1396" s="6">
        <v>54712</v>
      </c>
      <c r="L1396" s="6">
        <v>600</v>
      </c>
      <c r="M1396" s="6" t="s">
        <v>6325</v>
      </c>
      <c r="N1396" s="6"/>
      <c r="O1396" s="6" t="s">
        <v>6326</v>
      </c>
      <c r="P1396" s="8" t="s">
        <v>100</v>
      </c>
      <c r="Q1396" s="10" t="s">
        <v>6337</v>
      </c>
    </row>
    <row r="1397" spans="1:17" x14ac:dyDescent="0.25">
      <c r="A1397" s="8">
        <f>ROW()-1</f>
        <v>1396</v>
      </c>
      <c r="B1397" s="9">
        <v>46318</v>
      </c>
      <c r="C1397" s="6" t="s">
        <v>6342</v>
      </c>
      <c r="D1397" s="6" t="s">
        <v>99</v>
      </c>
      <c r="E1397" s="6" t="s">
        <v>68</v>
      </c>
      <c r="F1397" s="6" t="s">
        <v>93</v>
      </c>
      <c r="G1397" s="6" t="s">
        <v>20</v>
      </c>
      <c r="H1397" s="6" t="s">
        <v>6385</v>
      </c>
      <c r="I1397" s="6" t="s">
        <v>6353</v>
      </c>
      <c r="J1397" s="6" t="s">
        <v>6365</v>
      </c>
      <c r="K1397" s="6">
        <v>54712</v>
      </c>
      <c r="L1397" s="6">
        <v>600</v>
      </c>
      <c r="M1397" s="6" t="s">
        <v>6325</v>
      </c>
      <c r="N1397" s="6"/>
      <c r="O1397" s="6" t="s">
        <v>6326</v>
      </c>
      <c r="P1397" s="8" t="s">
        <v>101</v>
      </c>
      <c r="Q1397" s="10" t="s">
        <v>6386</v>
      </c>
    </row>
    <row r="1398" spans="1:17" x14ac:dyDescent="0.25">
      <c r="A1398" s="8">
        <f t="shared" ref="A1398:A1402" si="174">ROW()-1</f>
        <v>1397</v>
      </c>
      <c r="B1398" s="9">
        <v>46318</v>
      </c>
      <c r="C1398" s="6" t="s">
        <v>6343</v>
      </c>
      <c r="D1398" s="6" t="s">
        <v>99</v>
      </c>
      <c r="E1398" s="6" t="s">
        <v>1632</v>
      </c>
      <c r="F1398" s="6" t="s">
        <v>93</v>
      </c>
      <c r="G1398" s="6" t="s">
        <v>20</v>
      </c>
      <c r="H1398" s="6" t="s">
        <v>6380</v>
      </c>
      <c r="I1398" s="6" t="s">
        <v>6354</v>
      </c>
      <c r="J1398" s="6" t="s">
        <v>6366</v>
      </c>
      <c r="K1398" s="6">
        <v>103513</v>
      </c>
      <c r="L1398" s="6">
        <v>600</v>
      </c>
      <c r="M1398" s="6" t="s">
        <v>6325</v>
      </c>
      <c r="N1398" s="6"/>
      <c r="O1398" s="6" t="s">
        <v>6326</v>
      </c>
      <c r="P1398" s="8" t="s">
        <v>101</v>
      </c>
      <c r="Q1398" s="10" t="s">
        <v>6386</v>
      </c>
    </row>
    <row r="1399" spans="1:17" x14ac:dyDescent="0.25">
      <c r="A1399" s="8">
        <f t="shared" si="174"/>
        <v>1398</v>
      </c>
      <c r="B1399" s="9">
        <v>46318</v>
      </c>
      <c r="C1399" s="6" t="s">
        <v>6344</v>
      </c>
      <c r="D1399" s="6" t="s">
        <v>99</v>
      </c>
      <c r="E1399" s="6" t="s">
        <v>69</v>
      </c>
      <c r="F1399" s="6" t="s">
        <v>93</v>
      </c>
      <c r="G1399" s="6" t="s">
        <v>20</v>
      </c>
      <c r="H1399" s="6" t="s">
        <v>6383</v>
      </c>
      <c r="I1399" s="6" t="s">
        <v>6355</v>
      </c>
      <c r="J1399" s="6" t="s">
        <v>6367</v>
      </c>
      <c r="K1399" s="6">
        <v>38168</v>
      </c>
      <c r="L1399" s="6">
        <v>600</v>
      </c>
      <c r="M1399" s="6" t="s">
        <v>6325</v>
      </c>
      <c r="N1399" s="6"/>
      <c r="O1399" s="6" t="s">
        <v>6326</v>
      </c>
      <c r="P1399" s="8" t="s">
        <v>101</v>
      </c>
      <c r="Q1399" s="10" t="s">
        <v>6386</v>
      </c>
    </row>
    <row r="1400" spans="1:17" x14ac:dyDescent="0.25">
      <c r="A1400" s="8">
        <f t="shared" si="174"/>
        <v>1399</v>
      </c>
      <c r="B1400" s="9">
        <v>46318</v>
      </c>
      <c r="C1400" s="6" t="s">
        <v>6345</v>
      </c>
      <c r="D1400" s="6" t="s">
        <v>99</v>
      </c>
      <c r="E1400" s="6" t="s">
        <v>577</v>
      </c>
      <c r="F1400" s="6" t="s">
        <v>93</v>
      </c>
      <c r="G1400" s="6" t="s">
        <v>20</v>
      </c>
      <c r="H1400" s="6" t="s">
        <v>6384</v>
      </c>
      <c r="I1400" s="6" t="s">
        <v>6356</v>
      </c>
      <c r="J1400" s="6" t="s">
        <v>6368</v>
      </c>
      <c r="K1400" s="6">
        <v>96676</v>
      </c>
      <c r="L1400" s="6">
        <v>600</v>
      </c>
      <c r="M1400" s="6" t="s">
        <v>6325</v>
      </c>
      <c r="N1400" s="6"/>
      <c r="O1400" s="6" t="s">
        <v>6326</v>
      </c>
      <c r="P1400" s="8" t="s">
        <v>101</v>
      </c>
      <c r="Q1400" s="10" t="s">
        <v>6386</v>
      </c>
    </row>
    <row r="1401" spans="1:17" x14ac:dyDescent="0.25">
      <c r="A1401" s="8">
        <f t="shared" si="174"/>
        <v>1400</v>
      </c>
      <c r="B1401" s="9">
        <v>46318</v>
      </c>
      <c r="C1401" s="6" t="s">
        <v>6346</v>
      </c>
      <c r="D1401" s="6" t="s">
        <v>99</v>
      </c>
      <c r="E1401" s="6" t="s">
        <v>69</v>
      </c>
      <c r="F1401" s="6" t="s">
        <v>93</v>
      </c>
      <c r="G1401" s="6" t="s">
        <v>20</v>
      </c>
      <c r="H1401" s="6" t="s">
        <v>6382</v>
      </c>
      <c r="I1401" s="6" t="s">
        <v>6357</v>
      </c>
      <c r="J1401" s="6" t="s">
        <v>6369</v>
      </c>
      <c r="K1401" s="6">
        <v>38168</v>
      </c>
      <c r="L1401" s="6">
        <v>600</v>
      </c>
      <c r="M1401" s="6" t="s">
        <v>6325</v>
      </c>
      <c r="N1401" s="6"/>
      <c r="O1401" s="6" t="s">
        <v>6326</v>
      </c>
      <c r="P1401" s="8" t="s">
        <v>101</v>
      </c>
      <c r="Q1401" s="10" t="s">
        <v>6386</v>
      </c>
    </row>
    <row r="1402" spans="1:17" x14ac:dyDescent="0.25">
      <c r="A1402" s="8">
        <f t="shared" si="174"/>
        <v>1401</v>
      </c>
      <c r="B1402" s="9">
        <v>46318</v>
      </c>
      <c r="C1402" s="6" t="s">
        <v>6347</v>
      </c>
      <c r="D1402" s="6" t="s">
        <v>99</v>
      </c>
      <c r="E1402" s="6" t="s">
        <v>113</v>
      </c>
      <c r="F1402" s="6" t="s">
        <v>93</v>
      </c>
      <c r="G1402" s="6" t="s">
        <v>20</v>
      </c>
      <c r="H1402" s="6" t="s">
        <v>6381</v>
      </c>
      <c r="I1402" s="6" t="s">
        <v>6358</v>
      </c>
      <c r="J1402" s="6" t="s">
        <v>6370</v>
      </c>
      <c r="K1402" s="6">
        <v>47168</v>
      </c>
      <c r="L1402" s="6">
        <v>600</v>
      </c>
      <c r="M1402" s="6" t="s">
        <v>6325</v>
      </c>
      <c r="N1402" s="6"/>
      <c r="O1402" s="6" t="s">
        <v>6326</v>
      </c>
      <c r="P1402" s="8" t="s">
        <v>101</v>
      </c>
      <c r="Q1402" s="10" t="s">
        <v>6386</v>
      </c>
    </row>
    <row r="1403" spans="1:17" x14ac:dyDescent="0.25">
      <c r="A1403" s="8">
        <f t="shared" ref="A1403:A1408" si="175">ROW()-1</f>
        <v>1402</v>
      </c>
      <c r="B1403" s="9">
        <v>46318</v>
      </c>
      <c r="C1403" s="6" t="s">
        <v>6348</v>
      </c>
      <c r="D1403" s="6" t="s">
        <v>99</v>
      </c>
      <c r="E1403" s="6" t="s">
        <v>577</v>
      </c>
      <c r="F1403" s="6" t="s">
        <v>140</v>
      </c>
      <c r="G1403" s="6" t="s">
        <v>20</v>
      </c>
      <c r="H1403" s="6" t="s">
        <v>6394</v>
      </c>
      <c r="I1403" s="6" t="s">
        <v>6359</v>
      </c>
      <c r="J1403" s="6" t="s">
        <v>6371</v>
      </c>
      <c r="K1403" s="6">
        <v>96676</v>
      </c>
      <c r="L1403" s="6">
        <v>600</v>
      </c>
      <c r="M1403" s="6" t="s">
        <v>6325</v>
      </c>
      <c r="N1403" s="6"/>
      <c r="O1403" s="6" t="s">
        <v>6326</v>
      </c>
      <c r="P1403" s="8" t="s">
        <v>101</v>
      </c>
      <c r="Q1403" s="10" t="s">
        <v>6395</v>
      </c>
    </row>
    <row r="1404" spans="1:17" x14ac:dyDescent="0.25">
      <c r="A1404" s="8">
        <f t="shared" si="175"/>
        <v>1403</v>
      </c>
      <c r="B1404" s="9">
        <v>46318</v>
      </c>
      <c r="C1404" s="6" t="s">
        <v>6349</v>
      </c>
      <c r="D1404" s="6" t="s">
        <v>99</v>
      </c>
      <c r="E1404" s="6" t="s">
        <v>69</v>
      </c>
      <c r="F1404" s="6" t="s">
        <v>96</v>
      </c>
      <c r="G1404" s="6" t="s">
        <v>20</v>
      </c>
      <c r="H1404" s="6" t="s">
        <v>6388</v>
      </c>
      <c r="I1404" s="6" t="s">
        <v>6360</v>
      </c>
      <c r="J1404" s="6" t="s">
        <v>6372</v>
      </c>
      <c r="K1404" s="6">
        <v>38168</v>
      </c>
      <c r="L1404" s="6">
        <v>600</v>
      </c>
      <c r="M1404" s="6" t="s">
        <v>6325</v>
      </c>
      <c r="N1404" s="6"/>
      <c r="O1404" s="6" t="s">
        <v>6326</v>
      </c>
      <c r="P1404" s="8" t="s">
        <v>101</v>
      </c>
      <c r="Q1404" s="10" t="s">
        <v>6391</v>
      </c>
    </row>
    <row r="1405" spans="1:17" x14ac:dyDescent="0.25">
      <c r="A1405" s="8">
        <f t="shared" si="175"/>
        <v>1404</v>
      </c>
      <c r="B1405" s="9">
        <v>46318</v>
      </c>
      <c r="C1405" s="6" t="s">
        <v>2560</v>
      </c>
      <c r="D1405" s="6" t="s">
        <v>99</v>
      </c>
      <c r="E1405" s="6" t="s">
        <v>113</v>
      </c>
      <c r="F1405" s="6" t="s">
        <v>96</v>
      </c>
      <c r="G1405" s="6" t="s">
        <v>20</v>
      </c>
      <c r="H1405" s="6" t="s">
        <v>6389</v>
      </c>
      <c r="I1405" s="6" t="s">
        <v>6361</v>
      </c>
      <c r="J1405" s="6" t="s">
        <v>6373</v>
      </c>
      <c r="K1405" s="6">
        <v>45668</v>
      </c>
      <c r="L1405" s="6">
        <v>600</v>
      </c>
      <c r="M1405" s="6" t="s">
        <v>6325</v>
      </c>
      <c r="N1405" s="6"/>
      <c r="O1405" s="6" t="s">
        <v>6326</v>
      </c>
      <c r="P1405" s="8" t="s">
        <v>101</v>
      </c>
      <c r="Q1405" s="10" t="s">
        <v>6391</v>
      </c>
    </row>
    <row r="1406" spans="1:17" x14ac:dyDescent="0.25">
      <c r="A1406" s="8">
        <f t="shared" si="175"/>
        <v>1405</v>
      </c>
      <c r="B1406" s="9">
        <v>46318</v>
      </c>
      <c r="C1406" s="6" t="s">
        <v>6350</v>
      </c>
      <c r="D1406" s="6" t="s">
        <v>99</v>
      </c>
      <c r="E1406" s="6" t="s">
        <v>3634</v>
      </c>
      <c r="F1406" s="6" t="s">
        <v>96</v>
      </c>
      <c r="G1406" s="6" t="s">
        <v>20</v>
      </c>
      <c r="H1406" s="6" t="s">
        <v>6390</v>
      </c>
      <c r="I1406" s="6" t="s">
        <v>6362</v>
      </c>
      <c r="J1406" s="6" t="s">
        <v>6374</v>
      </c>
      <c r="K1406" s="6">
        <v>64612</v>
      </c>
      <c r="L1406" s="6">
        <v>600</v>
      </c>
      <c r="M1406" s="6" t="s">
        <v>6325</v>
      </c>
      <c r="N1406" s="6"/>
      <c r="O1406" s="6" t="s">
        <v>6326</v>
      </c>
      <c r="P1406" s="8" t="s">
        <v>101</v>
      </c>
      <c r="Q1406" s="10" t="s">
        <v>6391</v>
      </c>
    </row>
    <row r="1407" spans="1:17" x14ac:dyDescent="0.25">
      <c r="A1407" s="8">
        <f t="shared" si="175"/>
        <v>1406</v>
      </c>
      <c r="B1407" s="9">
        <v>46318</v>
      </c>
      <c r="C1407" s="6" t="s">
        <v>6351</v>
      </c>
      <c r="D1407" s="6" t="s">
        <v>99</v>
      </c>
      <c r="E1407" s="6" t="s">
        <v>113</v>
      </c>
      <c r="F1407" s="6" t="s">
        <v>96</v>
      </c>
      <c r="G1407" s="6" t="s">
        <v>20</v>
      </c>
      <c r="H1407" s="6" t="s">
        <v>6387</v>
      </c>
      <c r="I1407" s="6" t="s">
        <v>6363</v>
      </c>
      <c r="J1407" s="6" t="s">
        <v>6375</v>
      </c>
      <c r="K1407" s="6">
        <v>47168</v>
      </c>
      <c r="L1407" s="6">
        <v>600</v>
      </c>
      <c r="M1407" s="6" t="s">
        <v>6325</v>
      </c>
      <c r="N1407" s="6"/>
      <c r="O1407" s="6" t="s">
        <v>6326</v>
      </c>
      <c r="P1407" s="8" t="s">
        <v>101</v>
      </c>
      <c r="Q1407" s="10" t="s">
        <v>6391</v>
      </c>
    </row>
    <row r="1408" spans="1:17" x14ac:dyDescent="0.25">
      <c r="A1408" s="8">
        <f t="shared" si="175"/>
        <v>1407</v>
      </c>
      <c r="B1408" s="9">
        <v>46318</v>
      </c>
      <c r="C1408" s="6" t="s">
        <v>6352</v>
      </c>
      <c r="D1408" s="6" t="s">
        <v>99</v>
      </c>
      <c r="E1408" s="6" t="s">
        <v>68</v>
      </c>
      <c r="F1408" s="6" t="s">
        <v>97</v>
      </c>
      <c r="G1408" s="6" t="s">
        <v>20</v>
      </c>
      <c r="H1408" s="6" t="s">
        <v>6401</v>
      </c>
      <c r="I1408" s="6" t="s">
        <v>6364</v>
      </c>
      <c r="J1408" s="6" t="s">
        <v>6376</v>
      </c>
      <c r="K1408" s="6">
        <v>54712</v>
      </c>
      <c r="L1408" s="6">
        <v>600</v>
      </c>
      <c r="M1408" s="6" t="s">
        <v>6325</v>
      </c>
      <c r="N1408" s="6"/>
      <c r="O1408" s="6" t="s">
        <v>6326</v>
      </c>
      <c r="P1408" s="8" t="s">
        <v>101</v>
      </c>
      <c r="Q1408" s="10">
        <v>2699429600120</v>
      </c>
    </row>
    <row r="1409" spans="1:17" x14ac:dyDescent="0.25">
      <c r="A1409" s="8">
        <f>ROW()-1</f>
        <v>1408</v>
      </c>
      <c r="B1409" s="9">
        <v>46318</v>
      </c>
      <c r="C1409" s="6" t="s">
        <v>6377</v>
      </c>
      <c r="D1409" s="6" t="s">
        <v>99</v>
      </c>
      <c r="E1409" s="6" t="s">
        <v>69</v>
      </c>
      <c r="F1409" s="6" t="s">
        <v>94</v>
      </c>
      <c r="G1409" s="6" t="s">
        <v>20</v>
      </c>
      <c r="H1409" s="6" t="s">
        <v>6392</v>
      </c>
      <c r="I1409" s="6" t="s">
        <v>6378</v>
      </c>
      <c r="J1409" s="6" t="s">
        <v>6379</v>
      </c>
      <c r="K1409" s="6">
        <v>38168</v>
      </c>
      <c r="L1409" s="6">
        <v>600</v>
      </c>
      <c r="M1409" s="6" t="s">
        <v>6325</v>
      </c>
      <c r="N1409" s="6"/>
      <c r="O1409" s="6" t="s">
        <v>6326</v>
      </c>
      <c r="P1409" s="8" t="s">
        <v>100</v>
      </c>
      <c r="Q1409" s="10" t="s">
        <v>6393</v>
      </c>
    </row>
    <row r="1410" spans="1:17" x14ac:dyDescent="0.25">
      <c r="A1410" s="8">
        <f t="shared" ref="A1410:A1413" si="176">ROW()-1</f>
        <v>1409</v>
      </c>
      <c r="B1410" s="9">
        <v>46318</v>
      </c>
      <c r="C1410" s="6" t="s">
        <v>6402</v>
      </c>
      <c r="D1410" s="6" t="s">
        <v>99</v>
      </c>
      <c r="E1410" s="6" t="s">
        <v>69</v>
      </c>
      <c r="F1410" s="6" t="s">
        <v>140</v>
      </c>
      <c r="G1410" s="6" t="s">
        <v>20</v>
      </c>
      <c r="H1410" s="6" t="s">
        <v>6396</v>
      </c>
      <c r="I1410" s="6" t="s">
        <v>6400</v>
      </c>
      <c r="J1410" s="6" t="s">
        <v>6403</v>
      </c>
      <c r="K1410" s="6">
        <v>36668</v>
      </c>
      <c r="L1410" s="6">
        <v>600</v>
      </c>
      <c r="M1410" s="6" t="s">
        <v>6325</v>
      </c>
      <c r="N1410" s="6"/>
      <c r="O1410" s="6" t="s">
        <v>6326</v>
      </c>
      <c r="P1410" s="8" t="s">
        <v>101</v>
      </c>
      <c r="Q1410" s="10" t="s">
        <v>6398</v>
      </c>
    </row>
    <row r="1411" spans="1:17" x14ac:dyDescent="0.25">
      <c r="A1411" s="8">
        <f t="shared" si="176"/>
        <v>1410</v>
      </c>
      <c r="B1411" s="9">
        <v>46318</v>
      </c>
      <c r="C1411" s="6" t="s">
        <v>6404</v>
      </c>
      <c r="D1411" s="6" t="s">
        <v>99</v>
      </c>
      <c r="E1411" s="6" t="s">
        <v>3707</v>
      </c>
      <c r="F1411" s="6" t="s">
        <v>140</v>
      </c>
      <c r="G1411" s="6" t="s">
        <v>20</v>
      </c>
      <c r="H1411" s="6" t="s">
        <v>6397</v>
      </c>
      <c r="I1411" s="6" t="s">
        <v>6399</v>
      </c>
      <c r="J1411" s="6" t="s">
        <v>6405</v>
      </c>
      <c r="K1411" s="6">
        <v>62272</v>
      </c>
      <c r="L1411" s="6">
        <v>600</v>
      </c>
      <c r="M1411" s="6" t="s">
        <v>6325</v>
      </c>
      <c r="N1411" s="6"/>
      <c r="O1411" s="6" t="s">
        <v>6326</v>
      </c>
      <c r="P1411" s="8" t="s">
        <v>101</v>
      </c>
      <c r="Q1411" s="10" t="s">
        <v>6398</v>
      </c>
    </row>
    <row r="1412" spans="1:17" x14ac:dyDescent="0.25">
      <c r="A1412" s="8">
        <f t="shared" si="176"/>
        <v>1411</v>
      </c>
      <c r="B1412" s="9">
        <v>46318</v>
      </c>
      <c r="C1412" s="6" t="s">
        <v>111</v>
      </c>
      <c r="D1412" s="6" t="s">
        <v>99</v>
      </c>
      <c r="E1412" s="6" t="s">
        <v>329</v>
      </c>
      <c r="F1412" s="6" t="s">
        <v>93</v>
      </c>
      <c r="G1412" s="6" t="s">
        <v>20</v>
      </c>
      <c r="H1412" s="6" t="s">
        <v>6406</v>
      </c>
      <c r="I1412" s="6" t="s">
        <v>6407</v>
      </c>
      <c r="J1412" s="6" t="s">
        <v>6408</v>
      </c>
      <c r="K1412" s="6">
        <v>108826</v>
      </c>
      <c r="L1412" s="6">
        <v>600</v>
      </c>
      <c r="M1412" s="6" t="s">
        <v>6325</v>
      </c>
      <c r="N1412" s="6"/>
      <c r="O1412" s="6" t="s">
        <v>6326</v>
      </c>
      <c r="P1412" s="8" t="s">
        <v>101</v>
      </c>
      <c r="Q1412" s="10">
        <v>2699429600123</v>
      </c>
    </row>
    <row r="1413" spans="1:17" x14ac:dyDescent="0.25">
      <c r="A1413" s="8">
        <f t="shared" si="176"/>
        <v>1412</v>
      </c>
      <c r="B1413" s="9">
        <v>46318</v>
      </c>
      <c r="C1413" s="6" t="s">
        <v>2279</v>
      </c>
      <c r="D1413" s="6" t="s">
        <v>18</v>
      </c>
      <c r="E1413" s="6" t="s">
        <v>114</v>
      </c>
      <c r="F1413" s="6" t="s">
        <v>95</v>
      </c>
      <c r="G1413" s="6" t="s">
        <v>20</v>
      </c>
      <c r="H1413" s="6" t="s">
        <v>6444</v>
      </c>
      <c r="I1413" s="6" t="s">
        <v>6409</v>
      </c>
      <c r="J1413" s="6" t="s">
        <v>6411</v>
      </c>
      <c r="K1413" s="6">
        <v>75466</v>
      </c>
      <c r="L1413" s="6">
        <v>600</v>
      </c>
      <c r="M1413" s="6" t="s">
        <v>6325</v>
      </c>
      <c r="N1413" s="6"/>
      <c r="O1413" s="6" t="s">
        <v>6326</v>
      </c>
      <c r="P1413" s="8" t="s">
        <v>27</v>
      </c>
      <c r="Q1413" s="10" t="s">
        <v>6445</v>
      </c>
    </row>
    <row r="1414" spans="1:17" x14ac:dyDescent="0.25">
      <c r="A1414" s="8">
        <f>ROW()-1</f>
        <v>1413</v>
      </c>
      <c r="B1414" s="9">
        <v>46318</v>
      </c>
      <c r="C1414" s="6" t="s">
        <v>1270</v>
      </c>
      <c r="D1414" s="6" t="s">
        <v>18</v>
      </c>
      <c r="E1414" s="6" t="s">
        <v>114</v>
      </c>
      <c r="F1414" s="6" t="s">
        <v>97</v>
      </c>
      <c r="G1414" s="6" t="s">
        <v>20</v>
      </c>
      <c r="H1414" s="6" t="s">
        <v>6427</v>
      </c>
      <c r="I1414" s="6" t="s">
        <v>6410</v>
      </c>
      <c r="J1414" s="6" t="s">
        <v>6412</v>
      </c>
      <c r="K1414" s="6">
        <v>75466</v>
      </c>
      <c r="L1414" s="6">
        <v>600</v>
      </c>
      <c r="M1414" s="6" t="s">
        <v>6325</v>
      </c>
      <c r="N1414" s="6"/>
      <c r="O1414" s="6" t="s">
        <v>6326</v>
      </c>
      <c r="P1414" s="8" t="s">
        <v>27</v>
      </c>
      <c r="Q1414" s="10" t="s">
        <v>6428</v>
      </c>
    </row>
    <row r="1415" spans="1:17" x14ac:dyDescent="0.25">
      <c r="A1415" s="8">
        <f>ROW()-1</f>
        <v>1414</v>
      </c>
      <c r="B1415" s="9">
        <v>46318</v>
      </c>
      <c r="C1415" s="6" t="s">
        <v>6413</v>
      </c>
      <c r="D1415" s="6" t="s">
        <v>99</v>
      </c>
      <c r="E1415" s="6" t="s">
        <v>1512</v>
      </c>
      <c r="F1415" s="6" t="s">
        <v>94</v>
      </c>
      <c r="G1415" s="6" t="s">
        <v>20</v>
      </c>
      <c r="H1415" s="6" t="s">
        <v>6423</v>
      </c>
      <c r="I1415" s="6" t="s">
        <v>6415</v>
      </c>
      <c r="J1415" s="6" t="s">
        <v>6419</v>
      </c>
      <c r="K1415" s="6">
        <v>69673</v>
      </c>
      <c r="L1415" s="6">
        <v>600</v>
      </c>
      <c r="M1415" s="6" t="s">
        <v>6325</v>
      </c>
      <c r="N1415" s="6"/>
      <c r="O1415" s="6" t="s">
        <v>6326</v>
      </c>
      <c r="P1415" s="8" t="s">
        <v>100</v>
      </c>
      <c r="Q1415" s="10" t="s">
        <v>6424</v>
      </c>
    </row>
    <row r="1416" spans="1:17" x14ac:dyDescent="0.25">
      <c r="A1416" s="8">
        <f t="shared" ref="A1416:A1417" si="177">ROW()-1</f>
        <v>1415</v>
      </c>
      <c r="B1416" s="9">
        <v>46318</v>
      </c>
      <c r="C1416" s="6" t="s">
        <v>4686</v>
      </c>
      <c r="D1416" s="6" t="s">
        <v>99</v>
      </c>
      <c r="E1416" s="6" t="s">
        <v>68</v>
      </c>
      <c r="F1416" s="6" t="s">
        <v>183</v>
      </c>
      <c r="G1416" s="6" t="s">
        <v>20</v>
      </c>
      <c r="H1416" s="6" t="s">
        <v>6430</v>
      </c>
      <c r="I1416" s="6" t="s">
        <v>6416</v>
      </c>
      <c r="J1416" s="6" t="s">
        <v>6420</v>
      </c>
      <c r="K1416" s="6">
        <v>54712</v>
      </c>
      <c r="L1416" s="6">
        <v>600</v>
      </c>
      <c r="M1416" s="6" t="s">
        <v>6325</v>
      </c>
      <c r="N1416" s="6"/>
      <c r="O1416" s="6" t="s">
        <v>6326</v>
      </c>
      <c r="P1416" s="8" t="s">
        <v>100</v>
      </c>
      <c r="Q1416" s="10">
        <v>2699429600146</v>
      </c>
    </row>
    <row r="1417" spans="1:17" x14ac:dyDescent="0.25">
      <c r="A1417" s="8">
        <f t="shared" si="177"/>
        <v>1416</v>
      </c>
      <c r="B1417" s="9">
        <v>46318</v>
      </c>
      <c r="C1417" s="6" t="s">
        <v>4463</v>
      </c>
      <c r="D1417" s="6" t="s">
        <v>99</v>
      </c>
      <c r="E1417" s="6" t="s">
        <v>69</v>
      </c>
      <c r="F1417" s="6" t="s">
        <v>183</v>
      </c>
      <c r="G1417" s="6" t="s">
        <v>20</v>
      </c>
      <c r="H1417" s="6" t="s">
        <v>6429</v>
      </c>
      <c r="I1417" s="6" t="s">
        <v>6417</v>
      </c>
      <c r="J1417" s="6" t="s">
        <v>6421</v>
      </c>
      <c r="K1417" s="6">
        <v>38168</v>
      </c>
      <c r="L1417" s="6">
        <v>600</v>
      </c>
      <c r="M1417" s="6" t="s">
        <v>6325</v>
      </c>
      <c r="N1417" s="6"/>
      <c r="O1417" s="6" t="s">
        <v>6326</v>
      </c>
      <c r="P1417" s="8" t="s">
        <v>100</v>
      </c>
      <c r="Q1417" s="10">
        <v>2699429600146</v>
      </c>
    </row>
    <row r="1418" spans="1:17" x14ac:dyDescent="0.25">
      <c r="A1418" s="8">
        <f t="shared" ref="A1418:A1424" si="178">ROW()-1</f>
        <v>1417</v>
      </c>
      <c r="B1418" s="9">
        <v>46318</v>
      </c>
      <c r="C1418" s="6" t="s">
        <v>6414</v>
      </c>
      <c r="D1418" s="6" t="s">
        <v>99</v>
      </c>
      <c r="E1418" s="6" t="s">
        <v>68</v>
      </c>
      <c r="F1418" s="6" t="s">
        <v>243</v>
      </c>
      <c r="G1418" s="6" t="s">
        <v>20</v>
      </c>
      <c r="H1418" s="6" t="s">
        <v>6425</v>
      </c>
      <c r="I1418" s="6" t="s">
        <v>6418</v>
      </c>
      <c r="J1418" s="6" t="s">
        <v>6422</v>
      </c>
      <c r="K1418" s="6">
        <v>54712</v>
      </c>
      <c r="L1418" s="6">
        <v>600</v>
      </c>
      <c r="M1418" s="6" t="s">
        <v>6325</v>
      </c>
      <c r="N1418" s="6"/>
      <c r="O1418" s="6" t="s">
        <v>6326</v>
      </c>
      <c r="P1418" s="8" t="s">
        <v>100</v>
      </c>
      <c r="Q1418" s="10" t="s">
        <v>6426</v>
      </c>
    </row>
    <row r="1419" spans="1:17" x14ac:dyDescent="0.25">
      <c r="A1419" s="8">
        <f t="shared" si="178"/>
        <v>1418</v>
      </c>
      <c r="B1419" s="9">
        <v>46318</v>
      </c>
      <c r="C1419" s="6" t="s">
        <v>6431</v>
      </c>
      <c r="D1419" s="6" t="s">
        <v>99</v>
      </c>
      <c r="E1419" s="6" t="s">
        <v>329</v>
      </c>
      <c r="F1419" s="6" t="s">
        <v>93</v>
      </c>
      <c r="G1419" s="6" t="s">
        <v>20</v>
      </c>
      <c r="H1419" s="6" t="s">
        <v>6459</v>
      </c>
      <c r="I1419" s="6" t="s">
        <v>6436</v>
      </c>
      <c r="J1419" s="6" t="s">
        <v>6440</v>
      </c>
      <c r="K1419" s="6">
        <v>108826</v>
      </c>
      <c r="L1419" s="6">
        <v>600</v>
      </c>
      <c r="M1419" s="6" t="s">
        <v>6325</v>
      </c>
      <c r="N1419" s="6"/>
      <c r="O1419" s="6" t="s">
        <v>6326</v>
      </c>
      <c r="P1419" s="8" t="s">
        <v>101</v>
      </c>
      <c r="Q1419" s="10" t="s">
        <v>6460</v>
      </c>
    </row>
    <row r="1420" spans="1:17" x14ac:dyDescent="0.25">
      <c r="A1420" s="8">
        <f t="shared" si="178"/>
        <v>1419</v>
      </c>
      <c r="B1420" s="9">
        <v>46318</v>
      </c>
      <c r="C1420" s="6" t="s">
        <v>6432</v>
      </c>
      <c r="D1420" s="6" t="s">
        <v>99</v>
      </c>
      <c r="E1420" s="6" t="s">
        <v>577</v>
      </c>
      <c r="F1420" s="6" t="s">
        <v>93</v>
      </c>
      <c r="G1420" s="6" t="s">
        <v>20</v>
      </c>
      <c r="H1420" s="6" t="s">
        <v>6458</v>
      </c>
      <c r="I1420" s="6" t="s">
        <v>6437</v>
      </c>
      <c r="J1420" s="6" t="s">
        <v>6441</v>
      </c>
      <c r="K1420" s="6">
        <v>95176</v>
      </c>
      <c r="L1420" s="6">
        <v>600</v>
      </c>
      <c r="M1420" s="6" t="s">
        <v>6325</v>
      </c>
      <c r="N1420" s="6"/>
      <c r="O1420" s="6" t="s">
        <v>6326</v>
      </c>
      <c r="P1420" s="8" t="s">
        <v>101</v>
      </c>
      <c r="Q1420" s="10" t="s">
        <v>6460</v>
      </c>
    </row>
    <row r="1421" spans="1:17" x14ac:dyDescent="0.25">
      <c r="A1421" s="8">
        <f t="shared" si="178"/>
        <v>1420</v>
      </c>
      <c r="B1421" s="9">
        <v>46318</v>
      </c>
      <c r="C1421" s="6" t="s">
        <v>6433</v>
      </c>
      <c r="D1421" s="6" t="s">
        <v>99</v>
      </c>
      <c r="E1421" s="6" t="s">
        <v>6435</v>
      </c>
      <c r="F1421" s="6" t="s">
        <v>139</v>
      </c>
      <c r="G1421" s="6" t="s">
        <v>20</v>
      </c>
      <c r="H1421" s="6"/>
      <c r="I1421" s="6" t="s">
        <v>6438</v>
      </c>
      <c r="J1421" s="6" t="s">
        <v>6442</v>
      </c>
      <c r="K1421" s="6">
        <v>10794</v>
      </c>
      <c r="L1421" s="6">
        <v>600</v>
      </c>
      <c r="M1421" s="6" t="s">
        <v>6325</v>
      </c>
      <c r="N1421" s="6"/>
      <c r="O1421" s="6" t="s">
        <v>6326</v>
      </c>
      <c r="P1421" s="8" t="s">
        <v>101</v>
      </c>
      <c r="Q1421" s="10" t="s">
        <v>6463</v>
      </c>
    </row>
    <row r="1422" spans="1:17" x14ac:dyDescent="0.25">
      <c r="A1422" s="8">
        <f t="shared" si="178"/>
        <v>1421</v>
      </c>
      <c r="B1422" s="9">
        <v>46318</v>
      </c>
      <c r="C1422" s="6" t="s">
        <v>6434</v>
      </c>
      <c r="D1422" s="6" t="s">
        <v>99</v>
      </c>
      <c r="E1422" s="6" t="s">
        <v>1632</v>
      </c>
      <c r="F1422" s="6" t="s">
        <v>95</v>
      </c>
      <c r="G1422" s="6" t="s">
        <v>20</v>
      </c>
      <c r="H1422" s="6" t="s">
        <v>6467</v>
      </c>
      <c r="I1422" s="6" t="s">
        <v>6439</v>
      </c>
      <c r="J1422" s="6" t="s">
        <v>6443</v>
      </c>
      <c r="K1422" s="6">
        <v>104917</v>
      </c>
      <c r="L1422" s="6">
        <v>600</v>
      </c>
      <c r="M1422" s="6" t="s">
        <v>6325</v>
      </c>
      <c r="N1422" s="6"/>
      <c r="O1422" s="6" t="s">
        <v>6326</v>
      </c>
      <c r="P1422" s="8" t="s">
        <v>101</v>
      </c>
      <c r="Q1422" s="10" t="s">
        <v>6468</v>
      </c>
    </row>
    <row r="1423" spans="1:17" x14ac:dyDescent="0.25">
      <c r="A1423" s="8">
        <f t="shared" si="178"/>
        <v>1422</v>
      </c>
      <c r="B1423" s="9">
        <v>46318</v>
      </c>
      <c r="C1423" s="6" t="s">
        <v>6446</v>
      </c>
      <c r="D1423" s="6" t="s">
        <v>99</v>
      </c>
      <c r="E1423" s="6" t="s">
        <v>69</v>
      </c>
      <c r="F1423" s="6" t="s">
        <v>139</v>
      </c>
      <c r="G1423" s="6" t="s">
        <v>20</v>
      </c>
      <c r="H1423" s="6" t="s">
        <v>6461</v>
      </c>
      <c r="I1423" s="6" t="s">
        <v>6449</v>
      </c>
      <c r="J1423" s="6" t="s">
        <v>6452</v>
      </c>
      <c r="K1423" s="6">
        <v>38168</v>
      </c>
      <c r="L1423" s="6">
        <v>600</v>
      </c>
      <c r="M1423" s="6" t="s">
        <v>6325</v>
      </c>
      <c r="N1423" s="6"/>
      <c r="O1423" s="6" t="s">
        <v>6326</v>
      </c>
      <c r="P1423" s="8" t="s">
        <v>100</v>
      </c>
      <c r="Q1423" s="10" t="s">
        <v>6463</v>
      </c>
    </row>
    <row r="1424" spans="1:17" x14ac:dyDescent="0.25">
      <c r="A1424" s="8">
        <f t="shared" si="178"/>
        <v>1423</v>
      </c>
      <c r="B1424" s="9">
        <v>46318</v>
      </c>
      <c r="C1424" s="6" t="s">
        <v>6455</v>
      </c>
      <c r="D1424" s="6" t="s">
        <v>99</v>
      </c>
      <c r="E1424" s="6" t="s">
        <v>68</v>
      </c>
      <c r="F1424" s="6" t="s">
        <v>139</v>
      </c>
      <c r="G1424" s="6" t="s">
        <v>20</v>
      </c>
      <c r="H1424" s="6" t="s">
        <v>6462</v>
      </c>
      <c r="I1424" s="6" t="s">
        <v>6456</v>
      </c>
      <c r="J1424" s="6" t="s">
        <v>6457</v>
      </c>
      <c r="K1424" s="6">
        <v>54712</v>
      </c>
      <c r="L1424" s="6">
        <v>600</v>
      </c>
      <c r="M1424" s="6" t="s">
        <v>6325</v>
      </c>
      <c r="N1424" s="6"/>
      <c r="O1424" s="6" t="s">
        <v>6326</v>
      </c>
      <c r="P1424" s="8" t="s">
        <v>100</v>
      </c>
      <c r="Q1424" s="10" t="s">
        <v>6463</v>
      </c>
    </row>
    <row r="1425" spans="1:17" x14ac:dyDescent="0.25">
      <c r="A1425" s="8">
        <f t="shared" ref="A1425:A1426" si="179">ROW()-1</f>
        <v>1424</v>
      </c>
      <c r="B1425" s="9">
        <v>46318</v>
      </c>
      <c r="C1425" s="6" t="s">
        <v>6447</v>
      </c>
      <c r="D1425" s="6" t="s">
        <v>99</v>
      </c>
      <c r="E1425" s="6" t="s">
        <v>557</v>
      </c>
      <c r="F1425" s="6" t="s">
        <v>97</v>
      </c>
      <c r="G1425" s="6" t="s">
        <v>20</v>
      </c>
      <c r="H1425" s="6" t="s">
        <v>6464</v>
      </c>
      <c r="I1425" s="6" t="s">
        <v>6450</v>
      </c>
      <c r="J1425" s="6" t="s">
        <v>6453</v>
      </c>
      <c r="K1425" s="6">
        <v>47081</v>
      </c>
      <c r="L1425" s="6">
        <v>600</v>
      </c>
      <c r="M1425" s="6" t="s">
        <v>6325</v>
      </c>
      <c r="N1425" s="6"/>
      <c r="O1425" s="6" t="s">
        <v>6326</v>
      </c>
      <c r="P1425" s="8" t="s">
        <v>100</v>
      </c>
      <c r="Q1425" s="10" t="s">
        <v>6466</v>
      </c>
    </row>
    <row r="1426" spans="1:17" x14ac:dyDescent="0.25">
      <c r="A1426" s="8">
        <f t="shared" si="179"/>
        <v>1425</v>
      </c>
      <c r="B1426" s="9">
        <v>46318</v>
      </c>
      <c r="C1426" s="6" t="s">
        <v>6448</v>
      </c>
      <c r="D1426" s="6" t="s">
        <v>99</v>
      </c>
      <c r="E1426" s="6" t="s">
        <v>2571</v>
      </c>
      <c r="F1426" s="6" t="s">
        <v>97</v>
      </c>
      <c r="G1426" s="6" t="s">
        <v>20</v>
      </c>
      <c r="H1426" s="6" t="s">
        <v>6465</v>
      </c>
      <c r="I1426" s="6" t="s">
        <v>6451</v>
      </c>
      <c r="J1426" s="6" t="s">
        <v>6454</v>
      </c>
      <c r="K1426" s="6">
        <v>125395</v>
      </c>
      <c r="L1426" s="6">
        <v>600</v>
      </c>
      <c r="M1426" s="6" t="s">
        <v>6325</v>
      </c>
      <c r="N1426" s="6"/>
      <c r="O1426" s="6" t="s">
        <v>6326</v>
      </c>
      <c r="P1426" s="8" t="s">
        <v>100</v>
      </c>
      <c r="Q1426" s="10" t="s">
        <v>6466</v>
      </c>
    </row>
    <row r="1427" spans="1:17" x14ac:dyDescent="0.25">
      <c r="A1427" s="8">
        <f t="shared" ref="A1427:A1435" si="180">ROW()-1</f>
        <v>1426</v>
      </c>
      <c r="B1427" s="9">
        <v>46318</v>
      </c>
      <c r="C1427" s="6" t="s">
        <v>6469</v>
      </c>
      <c r="D1427" s="6" t="s">
        <v>99</v>
      </c>
      <c r="E1427" s="6" t="s">
        <v>66</v>
      </c>
      <c r="F1427" s="6" t="s">
        <v>96</v>
      </c>
      <c r="G1427" s="6" t="s">
        <v>20</v>
      </c>
      <c r="H1427" s="6" t="s">
        <v>6472</v>
      </c>
      <c r="I1427" s="6" t="s">
        <v>6470</v>
      </c>
      <c r="J1427" s="6" t="s">
        <v>6471</v>
      </c>
      <c r="K1427" s="6">
        <v>42892</v>
      </c>
      <c r="L1427" s="6">
        <v>600</v>
      </c>
      <c r="M1427" s="6" t="s">
        <v>6325</v>
      </c>
      <c r="N1427" s="6"/>
      <c r="O1427" s="6" t="s">
        <v>6326</v>
      </c>
      <c r="P1427" s="8" t="s">
        <v>100</v>
      </c>
      <c r="Q1427" s="10" t="s">
        <v>6473</v>
      </c>
    </row>
    <row r="1428" spans="1:17" x14ac:dyDescent="0.25">
      <c r="A1428" s="8">
        <f t="shared" si="180"/>
        <v>1427</v>
      </c>
      <c r="B1428" s="9">
        <v>46318</v>
      </c>
      <c r="C1428" s="6" t="s">
        <v>6474</v>
      </c>
      <c r="D1428" s="6" t="s">
        <v>18</v>
      </c>
      <c r="E1428" s="6" t="s">
        <v>478</v>
      </c>
      <c r="F1428" s="6" t="s">
        <v>95</v>
      </c>
      <c r="G1428" s="6" t="s">
        <v>20</v>
      </c>
      <c r="H1428" s="6" t="s">
        <v>6488</v>
      </c>
      <c r="I1428" s="6" t="s">
        <v>6476</v>
      </c>
      <c r="J1428" s="6" t="s">
        <v>6478</v>
      </c>
      <c r="K1428" s="6">
        <v>64252</v>
      </c>
      <c r="L1428" s="6">
        <v>600</v>
      </c>
      <c r="M1428" s="6" t="s">
        <v>6325</v>
      </c>
      <c r="N1428" s="6"/>
      <c r="O1428" s="6" t="s">
        <v>6326</v>
      </c>
      <c r="P1428" s="8" t="s">
        <v>27</v>
      </c>
      <c r="Q1428" s="10">
        <v>2699429600182</v>
      </c>
    </row>
    <row r="1429" spans="1:17" x14ac:dyDescent="0.25">
      <c r="A1429" s="8">
        <f t="shared" si="180"/>
        <v>1428</v>
      </c>
      <c r="B1429" s="9">
        <v>46318</v>
      </c>
      <c r="C1429" s="6" t="s">
        <v>6475</v>
      </c>
      <c r="D1429" s="6" t="s">
        <v>18</v>
      </c>
      <c r="E1429" s="6" t="s">
        <v>478</v>
      </c>
      <c r="F1429" s="6" t="s">
        <v>538</v>
      </c>
      <c r="G1429" s="6" t="s">
        <v>20</v>
      </c>
      <c r="H1429" s="6" t="s">
        <v>6486</v>
      </c>
      <c r="I1429" s="6" t="s">
        <v>6477</v>
      </c>
      <c r="J1429" s="6" t="s">
        <v>6479</v>
      </c>
      <c r="K1429" s="6">
        <v>64252</v>
      </c>
      <c r="L1429" s="6">
        <v>600</v>
      </c>
      <c r="M1429" s="6" t="s">
        <v>6325</v>
      </c>
      <c r="N1429" s="6"/>
      <c r="O1429" s="6" t="s">
        <v>6326</v>
      </c>
      <c r="P1429" s="8" t="s">
        <v>27</v>
      </c>
      <c r="Q1429" s="10" t="s">
        <v>6487</v>
      </c>
    </row>
    <row r="1430" spans="1:17" x14ac:dyDescent="0.25">
      <c r="A1430" s="8">
        <f t="shared" si="180"/>
        <v>1429</v>
      </c>
      <c r="B1430" s="9">
        <v>46318</v>
      </c>
      <c r="C1430" s="6" t="s">
        <v>6480</v>
      </c>
      <c r="D1430" s="6" t="s">
        <v>99</v>
      </c>
      <c r="E1430" s="6" t="s">
        <v>226</v>
      </c>
      <c r="F1430" s="6" t="s">
        <v>94</v>
      </c>
      <c r="G1430" s="6" t="s">
        <v>20</v>
      </c>
      <c r="H1430" s="6" t="s">
        <v>6497</v>
      </c>
      <c r="I1430" s="6" t="s">
        <v>6482</v>
      </c>
      <c r="J1430" s="6" t="s">
        <v>6484</v>
      </c>
      <c r="K1430" s="6">
        <v>49727</v>
      </c>
      <c r="L1430" s="6">
        <v>600</v>
      </c>
      <c r="M1430" s="6" t="s">
        <v>6325</v>
      </c>
      <c r="N1430" s="6"/>
      <c r="O1430" s="6" t="s">
        <v>6326</v>
      </c>
      <c r="P1430" s="8" t="s">
        <v>100</v>
      </c>
      <c r="Q1430" s="10" t="s">
        <v>6498</v>
      </c>
    </row>
    <row r="1431" spans="1:17" x14ac:dyDescent="0.25">
      <c r="A1431" s="8">
        <f t="shared" si="180"/>
        <v>1430</v>
      </c>
      <c r="B1431" s="9">
        <v>46318</v>
      </c>
      <c r="C1431" s="6" t="s">
        <v>6481</v>
      </c>
      <c r="D1431" s="6" t="s">
        <v>99</v>
      </c>
      <c r="E1431" s="6" t="s">
        <v>69</v>
      </c>
      <c r="F1431" s="6" t="s">
        <v>95</v>
      </c>
      <c r="G1431" s="6" t="s">
        <v>20</v>
      </c>
      <c r="H1431" s="6" t="s">
        <v>6495</v>
      </c>
      <c r="I1431" s="6" t="s">
        <v>6483</v>
      </c>
      <c r="J1431" s="6" t="s">
        <v>6485</v>
      </c>
      <c r="K1431" s="6">
        <v>38168</v>
      </c>
      <c r="L1431" s="6">
        <v>600</v>
      </c>
      <c r="M1431" s="6" t="s">
        <v>6325</v>
      </c>
      <c r="N1431" s="6"/>
      <c r="O1431" s="6" t="s">
        <v>6326</v>
      </c>
      <c r="P1431" s="8" t="s">
        <v>100</v>
      </c>
      <c r="Q1431" s="10" t="s">
        <v>6496</v>
      </c>
    </row>
    <row r="1432" spans="1:17" x14ac:dyDescent="0.25">
      <c r="A1432" s="8">
        <f t="shared" si="180"/>
        <v>1431</v>
      </c>
      <c r="B1432" s="9">
        <v>46318</v>
      </c>
      <c r="C1432" s="6" t="s">
        <v>6489</v>
      </c>
      <c r="D1432" s="6" t="s">
        <v>99</v>
      </c>
      <c r="E1432" s="6" t="s">
        <v>328</v>
      </c>
      <c r="F1432" s="6" t="s">
        <v>93</v>
      </c>
      <c r="G1432" s="6" t="s">
        <v>20</v>
      </c>
      <c r="H1432" s="6" t="s">
        <v>6500</v>
      </c>
      <c r="I1432" s="6" t="s">
        <v>6491</v>
      </c>
      <c r="J1432" s="6" t="s">
        <v>6493</v>
      </c>
      <c r="K1432" s="6">
        <v>70732</v>
      </c>
      <c r="L1432" s="6">
        <v>600</v>
      </c>
      <c r="M1432" s="6" t="s">
        <v>6325</v>
      </c>
      <c r="N1432" s="6"/>
      <c r="O1432" s="6" t="s">
        <v>6326</v>
      </c>
      <c r="P1432" s="8" t="s">
        <v>101</v>
      </c>
      <c r="Q1432" s="10" t="s">
        <v>6501</v>
      </c>
    </row>
    <row r="1433" spans="1:17" x14ac:dyDescent="0.25">
      <c r="A1433" s="8">
        <f t="shared" si="180"/>
        <v>1432</v>
      </c>
      <c r="B1433" s="9">
        <v>46318</v>
      </c>
      <c r="C1433" s="6" t="s">
        <v>6490</v>
      </c>
      <c r="D1433" s="6" t="s">
        <v>99</v>
      </c>
      <c r="E1433" s="6" t="s">
        <v>66</v>
      </c>
      <c r="F1433" s="6" t="s">
        <v>93</v>
      </c>
      <c r="G1433" s="6" t="s">
        <v>20</v>
      </c>
      <c r="H1433" s="6" t="s">
        <v>6499</v>
      </c>
      <c r="I1433" s="6" t="s">
        <v>6492</v>
      </c>
      <c r="J1433" s="6" t="s">
        <v>6494</v>
      </c>
      <c r="K1433" s="6">
        <v>42892</v>
      </c>
      <c r="L1433" s="6">
        <v>600</v>
      </c>
      <c r="M1433" s="6" t="s">
        <v>6325</v>
      </c>
      <c r="N1433" s="6"/>
      <c r="O1433" s="6" t="s">
        <v>6326</v>
      </c>
      <c r="P1433" s="8" t="s">
        <v>101</v>
      </c>
      <c r="Q1433" s="10" t="s">
        <v>6501</v>
      </c>
    </row>
    <row r="1434" spans="1:17" x14ac:dyDescent="0.25">
      <c r="A1434" s="8">
        <f t="shared" si="180"/>
        <v>1433</v>
      </c>
      <c r="B1434" s="9">
        <v>46318</v>
      </c>
      <c r="C1434" s="6" t="s">
        <v>6504</v>
      </c>
      <c r="D1434" s="6" t="s">
        <v>18</v>
      </c>
      <c r="E1434" s="6" t="s">
        <v>682</v>
      </c>
      <c r="F1434" s="6" t="s">
        <v>97</v>
      </c>
      <c r="G1434" s="6" t="s">
        <v>20</v>
      </c>
      <c r="H1434" s="6" t="s">
        <v>6502</v>
      </c>
      <c r="I1434" s="6" t="s">
        <v>6505</v>
      </c>
      <c r="J1434" s="6" t="s">
        <v>6506</v>
      </c>
      <c r="K1434" s="6">
        <v>99045</v>
      </c>
      <c r="L1434" s="6">
        <v>600</v>
      </c>
      <c r="M1434" s="6" t="s">
        <v>6325</v>
      </c>
      <c r="N1434" s="6"/>
      <c r="O1434" s="6" t="s">
        <v>6326</v>
      </c>
      <c r="P1434" s="8" t="s">
        <v>27</v>
      </c>
      <c r="Q1434" s="10" t="s">
        <v>6503</v>
      </c>
    </row>
    <row r="1435" spans="1:17" x14ac:dyDescent="0.25">
      <c r="A1435" s="8">
        <f t="shared" si="180"/>
        <v>1434</v>
      </c>
      <c r="B1435" s="8"/>
      <c r="C1435" s="6"/>
      <c r="D1435" s="6"/>
      <c r="E1435" s="6"/>
      <c r="F1435" s="6"/>
      <c r="G1435" s="6"/>
      <c r="H1435" s="6"/>
      <c r="I1435" s="6"/>
      <c r="J1435" s="6"/>
      <c r="K1435" s="6"/>
      <c r="L1435" s="8"/>
      <c r="M1435" s="8"/>
      <c r="N1435" s="8"/>
      <c r="O1435" s="7"/>
      <c r="P1435" s="8"/>
      <c r="Q1435" s="10"/>
    </row>
    <row r="1436" spans="1:17" x14ac:dyDescent="0.25">
      <c r="C1436" s="6"/>
      <c r="D1436" s="6"/>
      <c r="E1436" s="6"/>
      <c r="F1436" s="6"/>
      <c r="G1436" s="6"/>
      <c r="H1436" s="6"/>
      <c r="I1436" s="6"/>
      <c r="J1436" s="6"/>
      <c r="Q1436" s="10"/>
    </row>
    <row r="1437" spans="1:17" x14ac:dyDescent="0.25">
      <c r="C1437" s="6"/>
      <c r="D1437" s="6"/>
      <c r="E1437" s="6"/>
      <c r="F1437" s="6"/>
      <c r="G1437" s="6"/>
      <c r="H1437" s="6"/>
      <c r="I1437" s="6"/>
      <c r="J1437" s="6"/>
      <c r="Q1437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31"/>
  <sheetViews>
    <sheetView tabSelected="1" topLeftCell="A13" workbookViewId="0">
      <selection activeCell="A28" sqref="A28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3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6" t="s">
        <v>6507</v>
      </c>
      <c r="B5" s="17"/>
      <c r="C5" s="17"/>
      <c r="D5" s="17"/>
      <c r="E5" s="17"/>
      <c r="F5" s="17"/>
      <c r="G5" s="17"/>
    </row>
    <row r="6" spans="1:7" x14ac:dyDescent="0.25">
      <c r="A6" s="6" t="s">
        <v>6198</v>
      </c>
      <c r="B6" s="17">
        <v>6</v>
      </c>
      <c r="C6" s="17">
        <v>17</v>
      </c>
      <c r="D6" s="17">
        <v>17</v>
      </c>
      <c r="E6" s="17"/>
      <c r="F6" s="17">
        <v>9</v>
      </c>
      <c r="G6" s="17">
        <v>49</v>
      </c>
    </row>
    <row r="7" spans="1:7" x14ac:dyDescent="0.25">
      <c r="A7" s="6" t="s">
        <v>6196</v>
      </c>
      <c r="B7" s="17">
        <v>21</v>
      </c>
      <c r="C7" s="17">
        <v>78</v>
      </c>
      <c r="D7" s="17">
        <v>42</v>
      </c>
      <c r="E7" s="17"/>
      <c r="F7" s="17"/>
      <c r="G7" s="17">
        <v>141</v>
      </c>
    </row>
    <row r="8" spans="1:7" x14ac:dyDescent="0.25">
      <c r="A8" s="6" t="s">
        <v>6197</v>
      </c>
      <c r="B8" s="17">
        <v>53</v>
      </c>
      <c r="C8" s="17">
        <v>161</v>
      </c>
      <c r="D8" s="17">
        <v>135</v>
      </c>
      <c r="E8" s="17"/>
      <c r="F8" s="17"/>
      <c r="G8" s="17">
        <v>349</v>
      </c>
    </row>
    <row r="9" spans="1:7" x14ac:dyDescent="0.25">
      <c r="A9" s="6" t="s">
        <v>6194</v>
      </c>
      <c r="B9" s="17">
        <v>83</v>
      </c>
      <c r="C9" s="17">
        <v>259</v>
      </c>
      <c r="D9" s="17">
        <v>205</v>
      </c>
      <c r="E9" s="17"/>
      <c r="F9" s="17"/>
      <c r="G9" s="17">
        <v>547</v>
      </c>
    </row>
    <row r="10" spans="1:7" x14ac:dyDescent="0.25">
      <c r="A10" s="6" t="s">
        <v>6195</v>
      </c>
      <c r="B10" s="17">
        <v>36</v>
      </c>
      <c r="C10" s="17">
        <v>202</v>
      </c>
      <c r="D10" s="17">
        <v>104</v>
      </c>
      <c r="E10" s="17">
        <v>1</v>
      </c>
      <c r="F10" s="17"/>
      <c r="G10" s="17">
        <v>343</v>
      </c>
    </row>
    <row r="11" spans="1:7" x14ac:dyDescent="0.25">
      <c r="A11" s="16" t="s">
        <v>6199</v>
      </c>
      <c r="B11" s="17"/>
      <c r="C11" s="17">
        <v>10</v>
      </c>
      <c r="D11" s="17">
        <v>5</v>
      </c>
      <c r="E11" s="17"/>
      <c r="F11" s="17"/>
      <c r="G11" s="17">
        <v>15</v>
      </c>
    </row>
    <row r="12" spans="1:7" x14ac:dyDescent="0.25">
      <c r="A12" s="16" t="s">
        <v>6200</v>
      </c>
      <c r="B12" s="17"/>
      <c r="C12" s="17"/>
      <c r="D12" s="17">
        <v>1</v>
      </c>
      <c r="E12" s="17"/>
      <c r="F12" s="17"/>
      <c r="G12" s="17">
        <v>1</v>
      </c>
    </row>
    <row r="13" spans="1:7" x14ac:dyDescent="0.25">
      <c r="A13" s="16" t="s">
        <v>6201</v>
      </c>
      <c r="B13" s="17">
        <v>4</v>
      </c>
      <c r="C13" s="17">
        <v>12</v>
      </c>
      <c r="D13" s="17">
        <v>3</v>
      </c>
      <c r="E13" s="17"/>
      <c r="F13" s="17"/>
      <c r="G13" s="17">
        <v>19</v>
      </c>
    </row>
    <row r="14" spans="1:7" x14ac:dyDescent="0.25">
      <c r="A14" s="16" t="s">
        <v>6202</v>
      </c>
      <c r="B14" s="17">
        <v>4</v>
      </c>
      <c r="C14" s="17">
        <v>5</v>
      </c>
      <c r="D14" s="17">
        <v>3</v>
      </c>
      <c r="E14" s="17"/>
      <c r="F14" s="17"/>
      <c r="G14" s="17">
        <v>12</v>
      </c>
    </row>
    <row r="15" spans="1:7" x14ac:dyDescent="0.25">
      <c r="A15" s="16" t="s">
        <v>6203</v>
      </c>
      <c r="B15" s="17">
        <v>4</v>
      </c>
      <c r="C15" s="17">
        <v>17</v>
      </c>
      <c r="D15" s="17">
        <v>1</v>
      </c>
      <c r="E15" s="17"/>
      <c r="F15" s="17"/>
      <c r="G15" s="17">
        <v>22</v>
      </c>
    </row>
    <row r="16" spans="1:7" x14ac:dyDescent="0.25">
      <c r="A16" s="16" t="s">
        <v>6204</v>
      </c>
      <c r="B16" s="17"/>
      <c r="C16" s="17">
        <v>12</v>
      </c>
      <c r="D16" s="17">
        <v>5</v>
      </c>
      <c r="E16" s="17"/>
      <c r="F16" s="17"/>
      <c r="G16" s="17">
        <v>17</v>
      </c>
    </row>
    <row r="17" spans="1:7" x14ac:dyDescent="0.25">
      <c r="A17" s="16" t="s">
        <v>6205</v>
      </c>
      <c r="B17" s="17">
        <v>1</v>
      </c>
      <c r="C17" s="17">
        <v>14</v>
      </c>
      <c r="D17" s="17">
        <v>5</v>
      </c>
      <c r="E17" s="17"/>
      <c r="F17" s="17"/>
      <c r="G17" s="17">
        <v>20</v>
      </c>
    </row>
    <row r="18" spans="1:7" x14ac:dyDescent="0.25">
      <c r="A18" s="16" t="s">
        <v>6206</v>
      </c>
      <c r="B18" s="17">
        <v>2</v>
      </c>
      <c r="C18" s="17">
        <v>15</v>
      </c>
      <c r="D18" s="17">
        <v>1</v>
      </c>
      <c r="E18" s="17"/>
      <c r="F18" s="17"/>
      <c r="G18" s="17">
        <v>18</v>
      </c>
    </row>
    <row r="19" spans="1:7" x14ac:dyDescent="0.25">
      <c r="A19" s="16" t="s">
        <v>6207</v>
      </c>
      <c r="B19" s="17"/>
      <c r="C19" s="17">
        <v>9</v>
      </c>
      <c r="D19" s="17">
        <v>3</v>
      </c>
      <c r="E19" s="17"/>
      <c r="F19" s="17"/>
      <c r="G19" s="17">
        <v>12</v>
      </c>
    </row>
    <row r="20" spans="1:7" x14ac:dyDescent="0.25">
      <c r="A20" s="16" t="s">
        <v>6208</v>
      </c>
      <c r="B20" s="17"/>
      <c r="C20" s="17">
        <v>3</v>
      </c>
      <c r="D20" s="17">
        <v>8</v>
      </c>
      <c r="E20" s="17"/>
      <c r="F20" s="17"/>
      <c r="G20" s="17">
        <v>11</v>
      </c>
    </row>
    <row r="21" spans="1:7" x14ac:dyDescent="0.25">
      <c r="A21" s="16" t="s">
        <v>6209</v>
      </c>
      <c r="B21" s="17">
        <v>1</v>
      </c>
      <c r="C21" s="17">
        <v>11</v>
      </c>
      <c r="D21" s="17">
        <v>8</v>
      </c>
      <c r="E21" s="17"/>
      <c r="F21" s="17"/>
      <c r="G21" s="17">
        <v>20</v>
      </c>
    </row>
    <row r="22" spans="1:7" x14ac:dyDescent="0.25">
      <c r="A22" s="16" t="s">
        <v>6210</v>
      </c>
      <c r="B22" s="17">
        <v>1</v>
      </c>
      <c r="C22" s="17">
        <v>14</v>
      </c>
      <c r="D22" s="17">
        <v>14</v>
      </c>
      <c r="E22" s="17"/>
      <c r="F22" s="17"/>
      <c r="G22" s="17">
        <v>29</v>
      </c>
    </row>
    <row r="23" spans="1:7" x14ac:dyDescent="0.25">
      <c r="A23" s="16" t="s">
        <v>6211</v>
      </c>
      <c r="B23" s="17">
        <v>5</v>
      </c>
      <c r="C23" s="17">
        <v>15</v>
      </c>
      <c r="D23" s="17">
        <v>4</v>
      </c>
      <c r="E23" s="17"/>
      <c r="F23" s="17"/>
      <c r="G23" s="17">
        <v>24</v>
      </c>
    </row>
    <row r="24" spans="1:7" x14ac:dyDescent="0.25">
      <c r="A24" s="16" t="s">
        <v>6212</v>
      </c>
      <c r="B24" s="17">
        <v>4</v>
      </c>
      <c r="C24" s="17">
        <v>15</v>
      </c>
      <c r="D24" s="17">
        <v>11</v>
      </c>
      <c r="E24" s="17">
        <v>1</v>
      </c>
      <c r="F24" s="17"/>
      <c r="G24" s="17">
        <v>31</v>
      </c>
    </row>
    <row r="25" spans="1:7" x14ac:dyDescent="0.25">
      <c r="A25" s="16" t="s">
        <v>6213</v>
      </c>
      <c r="B25" s="17">
        <v>1</v>
      </c>
      <c r="C25" s="17">
        <v>15</v>
      </c>
      <c r="D25" s="17">
        <v>11</v>
      </c>
      <c r="E25" s="17"/>
      <c r="F25" s="17"/>
      <c r="G25" s="17">
        <v>27</v>
      </c>
    </row>
    <row r="26" spans="1:7" x14ac:dyDescent="0.25">
      <c r="A26" s="16" t="s">
        <v>6308</v>
      </c>
      <c r="B26" s="17">
        <v>3</v>
      </c>
      <c r="C26" s="17">
        <v>15</v>
      </c>
      <c r="D26" s="17">
        <v>3</v>
      </c>
      <c r="E26" s="17"/>
      <c r="F26" s="17"/>
      <c r="G26" s="17">
        <v>21</v>
      </c>
    </row>
    <row r="27" spans="1:7" x14ac:dyDescent="0.25">
      <c r="A27" s="16" t="s">
        <v>6508</v>
      </c>
      <c r="B27" s="17">
        <v>1</v>
      </c>
      <c r="C27" s="17"/>
      <c r="D27" s="17">
        <v>3</v>
      </c>
      <c r="E27" s="17"/>
      <c r="F27" s="17"/>
      <c r="G27" s="17">
        <v>4</v>
      </c>
    </row>
    <row r="28" spans="1:7" x14ac:dyDescent="0.25">
      <c r="A28" s="16" t="s">
        <v>6509</v>
      </c>
      <c r="B28" s="17">
        <v>5</v>
      </c>
      <c r="C28" s="17">
        <v>20</v>
      </c>
      <c r="D28" s="17">
        <v>15</v>
      </c>
      <c r="E28" s="17"/>
      <c r="F28" s="17"/>
      <c r="G28" s="17">
        <v>40</v>
      </c>
    </row>
    <row r="29" spans="1:7" x14ac:dyDescent="0.25">
      <c r="A29" s="18" t="s">
        <v>99</v>
      </c>
      <c r="B29" s="17"/>
      <c r="C29" s="17">
        <v>20</v>
      </c>
      <c r="D29" s="17">
        <v>15</v>
      </c>
      <c r="E29" s="17"/>
      <c r="F29" s="17"/>
      <c r="G29" s="17">
        <v>35</v>
      </c>
    </row>
    <row r="30" spans="1:7" x14ac:dyDescent="0.25">
      <c r="A30" s="18" t="s">
        <v>18</v>
      </c>
      <c r="B30" s="17">
        <v>5</v>
      </c>
      <c r="C30" s="17"/>
      <c r="D30" s="17"/>
      <c r="E30" s="17"/>
      <c r="F30" s="17"/>
      <c r="G30" s="17">
        <v>5</v>
      </c>
    </row>
    <row r="31" spans="1:7" x14ac:dyDescent="0.25">
      <c r="A31" s="15" t="s">
        <v>6190</v>
      </c>
      <c r="B31" s="17">
        <v>199</v>
      </c>
      <c r="C31" s="17">
        <v>717</v>
      </c>
      <c r="D31" s="17">
        <v>503</v>
      </c>
      <c r="E31" s="17">
        <v>1</v>
      </c>
      <c r="F31" s="17">
        <v>9</v>
      </c>
      <c r="G31" s="17">
        <v>1429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2026-10-23T12:22:50Z</dcterms:modified>
</cp:coreProperties>
</file>