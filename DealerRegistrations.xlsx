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8C6BCAC-79CD-4679-A8D3-9B96DB717A74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46" i="1" l="1"/>
  <c r="A1447" i="1"/>
  <c r="A1443" i="1" l="1"/>
  <c r="A1444" i="1"/>
  <c r="A1445" i="1"/>
  <c r="A1440" i="1"/>
  <c r="A1441" i="1"/>
  <c r="A1442" i="1"/>
  <c r="A1439" i="1"/>
  <c r="A1438" i="1"/>
  <c r="A1436" i="1"/>
  <c r="A1437" i="1"/>
  <c r="A1434" i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<sst xmlns="http://schemas.openxmlformats.org/spreadsheetml/2006/main" count="18044" uniqueCount="6567">
  <si>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</si>
  <si>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</si>
  <si>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</si>
  <si>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</si>
  <si>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</si>
  <si>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</si>
  <si>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</si>
  <si>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</si>
  <si>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</si>
  <si>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</si>
  <si>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</si>
  <si>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</si>
  <si>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</si>
  <si>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</si>
  <si>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</si>
  <si>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</si>
  <si>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</si>
  <si>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</si>
  <si>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</si>
  <si>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</si>
  <si>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</si>
  <si>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</si>
  <si>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</si>
  <si>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</si>
  <si>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</si>
  <si>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</si>
  <si>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</si>
  <si>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</si>
  <si>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</si>
  <si>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</si>
  <si>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</si>
  <si>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</si>
  <si>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</si>
  <si>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</si>
  <si>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</si>
  <si>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</si>
  <si>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</si>
  <si>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</si>
  <si>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</si>
  <si>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</si>
  <si>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</si>
  <si>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</si>
  <si>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</si>
  <si>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</si>
  <si>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</si>
  <si>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</si>
  <si>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</si>
  <si>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</si>
  <si>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</si>
  <si>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</si>
  <si>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</si>
  <si>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</si>
  <si>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</si>
  <si>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</si>
  <si>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</si>
  <si>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</si>
  <si>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</si>
  <si>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</si>
  <si>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</si>
  <si>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</si>
  <si>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</si>
  <si>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</si>
  <si>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</si>
  <si>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</si>
  <si>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</si>
  <si>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</si>
  <si>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</si>
  <si>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</si>
  <si>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</si>
  <si>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</si>
  <si>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</si>
  <si>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</si>
  <si>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</si>
  <si>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</si>
  <si>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</si>
  <si>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</si>
  <si>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</si>
  <si>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</si>
  <si>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</si>
  <si>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</si>
  <si>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</si>
  <si>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</si>
  <si>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</si>
  <si>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</si>
  <si>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</si>
  <si>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</si>
  <si>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</si>
  <si>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</si>
  <si>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</si>
  <si>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</si>
  <si>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</si>
  <si>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</si>
  <si>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</si>
  <si>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</si>
  <si>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</si>
  <si>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</si>
  <si>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</si>
  <si>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</si>
  <si>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</si>
  <si>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</si>
  <si>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</si>
  <si>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</si>
  <si>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</si>
  <si>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</si>
  <si>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</si>
  <si>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</si>
  <si>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</si>
  <si>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</si>
  <si>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</si>
  <si>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</si>
  <si>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</si>
  <si>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</si>
  <si>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</si>
  <si>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</si>
  <si>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</si>
  <si>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</si>
  <si>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</si>
  <si>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</si>
  <si>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</si>
  <si>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</si>
  <si>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</si>
  <si>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</si>
  <si>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</si>
  <si>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</si>
  <si>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</si>
  <si>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</si>
  <si>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</si>
  <si>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</si>
  <si>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</si>
  <si>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</si>
  <si>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</si>
  <si>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</si>
  <si>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</si>
  <si>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</si>
  <si>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</si>
  <si>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</si>
  <si>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</si>
  <si>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</si>
  <si>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</si>
  <si>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</si>
  <si>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</si>
  <si>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</si>
  <si>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</si>
  <si>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</si>
  <si>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</si>
  <si>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</si>
  <si>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</si>
  <si>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</si>
  <si>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</si>
  <si>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</si>
  <si>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</si>
  <si>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</si>
  <si>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</si>
  <si>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</si>
  <si>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</si>
  <si>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</si>
  <si>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</si>
  <si>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</si>
  <si>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</si>
  <si>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</si>
  <si>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</si>
  <si>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</si>
  <si>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</si>
  <si>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</si>
  <si>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</si>
  <si>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</si>
  <si>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</si>
  <si>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</si>
  <si>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</si>
  <si>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</si>
  <si>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</si>
  <si>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</si>
  <si>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</si>
  <si>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</si>
  <si>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</si>
  <si>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</si>
  <si>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</si>
  <si>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</si>
  <si>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</si>
  <si>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</si>
  <si>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</si>
  <si>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</si>
  <si>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</si>
  <si>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</si>
  <si>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</si>
  <si>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</si>
  <si>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</si>
  <si>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</si>
  <si>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</si>
  <si>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</si>
  <si>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</si>
  <si>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</si>
  <si>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</si>
  <si>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</si>
  <si>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</si>
  <si>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</si>
  <si>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</si>
  <si>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</si>
  <si>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</si>
  <si>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</si>
  <si>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</si>
  <si>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</si>
  <si>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</si>
  <si>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</si>
  <si>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</si>
  <si>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</si>
  <si>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</si>
  <si>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</si>
  <si>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</si>
  <si>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</si>
  <si>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</si>
  <si>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</si>
  <si>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</si>
  <si>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</si>
  <si>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</si>
  <si>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</si>
  <si>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</si>
  <si>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</si>
  <si>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</si>
  <si>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</si>
  <si>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</si>
  <si>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</si>
  <si>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</si>
  <si>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</si>
  <si>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</si>
  <si>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</si>
  <si>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</si>
  <si>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</si>
  <si>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</si>
  <si>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</si>
  <si>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</si>
  <si>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</si>
  <si>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</si>
  <si>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</si>
  <si>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</si>
  <si>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</si>
  <si>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</si>
  <si>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</si>
  <si>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</si>
  <si>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</si>
  <si>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</si>
  <si>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</si>
  <si>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</si>
  <si>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</si>
  <si>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</si>
  <si>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</si>
  <si>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</si>
  <si>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</si>
  <si>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</si>
  <si>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</si>
  <si>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</si>
  <si>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</si>
  <si>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</si>
  <si>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</si>
  <si>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</si>
  <si>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</si>
  <si>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</si>
  <si>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</si>
  <si>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</si>
  <si>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</si>
  <si>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</si>
  <si>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</si>
  <si>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</si>
  <si>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</si>
  <si>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</si>
  <si>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</si>
  <si>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</si>
  <si>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</si>
  <si>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</si>
  <si>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</si>
  <si>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</si>
  <si>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</si>
  <si>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</si>
  <si>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</si>
  <si>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</si>
  <si>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</si>
  <si>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</si>
  <si>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</si>
  <si>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</si>
  <si>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</si>
  <si>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</si>
  <si>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</si>
  <si>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</si>
  <si>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</si>
  <si>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</si>
  <si>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</si>
  <si>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</si>
  <si>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</si>
  <si>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</si>
  <si>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</si>
  <si>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</si>
  <si>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</si>
  <si>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</si>
  <si>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</si>
  <si>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</si>
  <si>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</si>
  <si>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</si>
  <si>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</si>
  <si>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</si>
  <si>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</si>
  <si>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</si>
  <si>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</si>
  <si>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</si>
  <si>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</si>
  <si>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</si>
  <si>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</si>
  <si>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</si>
  <si>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</si>
  <si>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</si>
  <si>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</si>
  <si>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</si>
  <si>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</si>
  <si>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</si>
  <si>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</si>
  <si>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</si>
  <si>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</si>
  <si>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</si>
  <si>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</si>
  <si>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</si>
  <si>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</si>
  <si>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</si>
  <si>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</si>
  <si>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</si>
  <si>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</si>
  <si>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</si>
  <si>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</si>
  <si>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</si>
  <si>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</si>
  <si>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</si>
  <si>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</si>
  <si>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</si>
  <si>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</si>
  <si>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</si>
  <si>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</si>
  <si>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</si>
  <si>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</si>
  <si>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</si>
  <si>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</si>
  <si>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</si>
  <si>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</si>
  <si>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</si>
  <si>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</si>
  <si>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</si>
  <si>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</si>
  <si>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</si>
  <si>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</si>
  <si>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</si>
  <si>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</si>
  <si>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</si>
  <si>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</si>
  <si>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</si>
  <si>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</si>
  <si>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</si>
  <si>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</si>
  <si>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</si>
  <si>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</si>
  <si>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</si>
  <si>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</si>
  <si>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</si>
  <si>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</si>
  <si>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</si>
  <si>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</si>
  <si>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</si>
  <si>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</si>
  <si>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</si>
  <si>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</si>
  <si>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</si>
  <si>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</si>
  <si>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</si>
  <si>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</si>
  <si>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</si>
  <si>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</si>
  <si>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</si>
  <si>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</si>
  <si>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</si>
  <si>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</si>
  <si>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</si>
  <si>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</si>
  <si>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</si>
  <si>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</si>
  <si>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</si>
  <si>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</si>
  <si>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</si>
  <si>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</si>
  <si>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</si>
  <si>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</si>
  <si>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</si>
  <si>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</si>
  <si>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</si>
  <si>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</si>
  <si>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</si>
  <si>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</si>
  <si>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</si>
  <si>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</si>
  <si>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</si>
  <si>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</si>
  <si>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</si>
  <si>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</si>
  <si>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</si>
  <si>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</si>
  <si>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</si>
  <si>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</si>
  <si>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</si>
  <si>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</si>
  <si>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</si>
  <si>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</si>
  <si>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</si>
  <si>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</si>
  <si>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</si>
  <si>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</si>
  <si>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</si>
  <si>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</si>
  <si>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</si>
  <si>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</si>
  <si>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</si>
  <si>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</si>
  <si>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</si>
  <si>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</si>
  <si>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</si>
  <si>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</si>
  <si>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</si>
  <si>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</si>
  <si>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</si>
  <si>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</si>
  <si>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</si>
  <si>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</si>
  <si>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</si>
  <si>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</si>
  <si>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</si>
  <si>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</si>
  <si>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</si>
  <si>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</si>
  <si>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</si>
  <si>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</si>
  <si>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</si>
  <si>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</si>
  <si>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</si>
  <si>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</si>
  <si>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</si>
  <si>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</si>
  <si>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</si>
  <si>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</si>
  <si>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</si>
  <si>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</si>
  <si>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</si>
  <si>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</si>
  <si>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</si>
  <si>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</si>
  <si>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</si>
  <si>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</si>
  <si>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</si>
  <si>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</si>
  <si>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</si>
  <si>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</si>
  <si>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</si>
  <si>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</si>
  <si>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</si>
  <si>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</si>
  <si>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</si>
  <si>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</si>
  <si>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</si>
  <si>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</si>
  <si>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</si>
  <si>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</si>
  <si>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</si>
  <si>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</si>
  <si>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</si>
  <si>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</si>
  <si>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</si>
  <si>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</si>
  <si>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</si>
  <si>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</si>
  <si>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</si>
  <si>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</si>
  <si>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</si>
  <si>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</si>
  <si>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</si>
  <si>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</si>
  <si>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</si>
  <si>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</si>
  <si>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</si>
  <si>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</si>
  <si>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</si>
  <si>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</si>
  <si>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</si>
  <si>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</si>
  <si>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</si>
  <si>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</si>
  <si>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</si>
  <si>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</si>
  <si>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</si>
  <si>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</si>
  <si>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</si>
  <si>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</si>
  <si>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</si>
  <si>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</si>
  <si>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</si>
  <si>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</si>
  <si>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</si>
  <si>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</si>
  <si>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</si>
  <si>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</si>
  <si>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</si>
  <si>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</si>
  <si>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</si>
  <si>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</si>
  <si>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</si>
  <si>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</si>
  <si>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</si>
  <si>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</si>
  <si>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</si>
  <si>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</si>
  <si>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</si>
  <si>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</si>
  <si>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</si>
  <si>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</si>
  <si>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</si>
  <si>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</si>
  <si>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</si>
  <si>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</si>
  <si>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</si>
  <si>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</si>
  <si>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</si>
  <si>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</si>
  <si>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</si>
  <si>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</si>
  <si>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</si>
  <si>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</si>
  <si>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</si>
  <si>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</si>
  <si>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</si>
  <si>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</si>
  <si>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</si>
  <si>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</si>
  <si>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</si>
  <si>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</si>
  <si>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</si>
  <si>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</si>
  <si>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</si>
  <si>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</si>
  <si>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</si>
  <si>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</si>
  <si>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</si>
  <si>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</si>
  <si>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</si>
  <si>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</si>
  <si>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</si>
  <si>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</si>
  <si>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</si>
  <si>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</si>
  <si>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</si>
  <si>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</si>
  <si>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</si>
  <si>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</si>
  <si>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</si>
  <si>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</si>
  <si>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</si>
  <si>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</si>
  <si>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</si>
  <si>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</si>
  <si>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</si>
  <si>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</si>
  <si>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</si>
  <si>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</si>
  <si>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</si>
  <si>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</si>
  <si>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</si>
  <si>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</si>
  <si>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</si>
  <si>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</si>
  <si>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</si>
  <si>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</si>
  <si>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</si>
  <si>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</si>
  <si>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</si>
  <si>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</si>
  <si>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</si>
  <si>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</si>
  <si>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</si>
  <si>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</si>
  <si>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</si>
  <si>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</si>
  <si>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</si>
  <si>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</si>
  <si>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</si>
  <si>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</si>
  <si>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</si>
  <si>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</si>
  <si>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</si>
  <si>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</si>
  <si>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</si>
  <si>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</si>
  <si>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</si>
  <si>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</si>
  <si>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</si>
  <si>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</si>
  <si>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</si>
  <si>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</si>
  <si>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</si>
  <si>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</si>
  <si>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</si>
  <si>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</si>
  <si>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</si>
  <si>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</si>
  <si>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</si>
  <si>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</si>
  <si>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</si>
  <si>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</si>
  <si>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</si>
  <si>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</si>
  <si>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</si>
  <si>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</si>
  <si>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</si>
  <si>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</si>
  <si>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</si>
  <si>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</si>
  <si>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</si>
  <si>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</si>
  <si>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</si>
  <si>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</si>
  <si>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</si>
  <si>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</si>
  <si>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</si>
  <si>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</si>
  <si>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</si>
  <si>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</si>
  <si>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</si>
  <si>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</si>
  <si>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</si>
  <si>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</si>
  <si>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</si>
  <si>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</si>
  <si>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</si>
  <si>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</si>
  <si>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</si>
  <si>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</si>
  <si>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</si>
  <si>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</si>
  <si>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</si>
  <si>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</si>
  <si>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</si>
  <si>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</si>
  <si>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</si>
  <si>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</si>
  <si>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</si>
  <si>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</si>
  <si>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</si>
  <si>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</si>
  <si>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</si>
  <si>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</si>
  <si>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</si>
  <si>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</si>
  <si>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</si>
  <si>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</si>
  <si>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</si>
  <si>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</si>
  <si>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</si>
  <si>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</si>
  <si>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</si>
  <si>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</si>
  <si>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</si>
  <si>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</si>
  <si>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</si>
  <si>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</si>
  <si>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</si>
  <si>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</si>
  <si>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</si>
  <si>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</si>
  <si>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</si>
  <si>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</si>
  <si>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</si>
  <si>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</si>
  <si>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</si>
  <si>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</si>
  <si>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</si>
  <si>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</si>
  <si>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</si>
  <si>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</si>
  <si>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</si>
  <si>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</si>
  <si>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</si>
  <si>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</si>
  <si>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</si>
  <si>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</si>
  <si>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</si>
  <si>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</si>
  <si>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</si>
  <si>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</si>
  <si>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</si>
  <si>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</si>
  <si>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</si>
  <si>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</si>
  <si>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</si>
  <si>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</si>
  <si>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</si>
  <si>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</si>
  <si>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</si>
  <si>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</si>
  <si>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</si>
  <si>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</si>
  <si>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</si>
  <si>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</si>
  <si>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</si>
  <si>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</si>
  <si>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</si>
  <si>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</si>
  <si>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</si>
  <si>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</si>
  <si>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</si>
  <si>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</si>
  <si>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</si>
  <si>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</si>
  <si>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</si>
  <si>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</si>
  <si>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</si>
  <si>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</si>
  <si>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</si>
  <si>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</si>
  <si>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</si>
  <si>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</si>
  <si>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</si>
  <si>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</si>
  <si>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</si>
  <si>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</si>
  <si>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</si>
  <si>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</si>
  <si>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</si>
  <si>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</si>
  <si>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</si>
  <si>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</si>
  <si>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</si>
  <si>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</si>
  <si>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</si>
  <si>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</si>
  <si>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</si>
  <si>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</si>
  <si>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</si>
  <si>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</si>
  <si>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</si>
  <si>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</si>
  <si>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</si>
  <si>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</si>
  <si>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</si>
  <si>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</si>
  <si>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</si>
  <si>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</si>
  <si>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</si>
  <si>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</si>
  <si>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</si>
  <si>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</si>
  <si>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</si>
  <si>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</si>
  <si>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</si>
  <si>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</si>
  <si>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</si>
  <si>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</si>
  <si>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</si>
  <si>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</si>
  <si>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</si>
  <si>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</si>
  <si>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</si>
  <si>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</si>
  <si>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</si>
  <si>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</si>
  <si>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</si>
  <si>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</si>
  <si>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</si>
  <si>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</si>
  <si>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</si>
  <si>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</si>
  <si>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</si>
  <si>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</si>
  <si>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</si>
  <si>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</si>
  <si>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</si>
  <si>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</si>
  <si>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</si>
  <si>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</si>
  <si>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</si>
  <si>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</si>
  <si>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</si>
  <si>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</si>
  <si>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</si>
  <si>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</si>
  <si>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</si>
  <si>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</si>
  <si>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</si>
  <si>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</si>
  <si>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</si>
  <si>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</si>
  <si>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</si>
  <si>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</si>
  <si>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</si>
  <si>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</si>
  <si>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</si>
  <si>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</si>
  <si>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</si>
  <si>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</si>
  <si>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</si>
  <si>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</si>
  <si>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</si>
  <si>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</si>
  <si>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</si>
  <si>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</si>
  <si>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</si>
  <si>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</si>
  <si>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</si>
  <si>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</si>
  <si>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</si>
  <si>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</si>
  <si>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</si>
  <si>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</si>
  <si>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</si>
  <si>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</si>
  <si>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</si>
  <si>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</si>
  <si>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</si>
  <si>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</si>
  <si>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</si>
  <si>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</si>
  <si>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</si>
  <si>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</si>
  <si>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</si>
  <si>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</si>
  <si>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</si>
  <si>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</si>
  <si>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</si>
  <si>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</si>
  <si>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</si>
  <si>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</si>
  <si>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</si>
  <si>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</si>
  <si>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</si>
  <si>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</si>
  <si>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</si>
  <si>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</si>
  <si>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</si>
  <si>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</si>
  <si>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</si>
  <si>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</si>
  <si>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</si>
  <si>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</si>
  <si>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</si>
  <si>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</si>
  <si>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</si>
  <si>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</si>
  <si>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</si>
  <si>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</si>
  <si>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</si>
  <si>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</si>
  <si>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</si>
  <si>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</si>
  <si>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</si>
  <si>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</si>
  <si>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</si>
  <si>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</si>
  <si>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</si>
  <si>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</si>
  <si>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</si>
  <si>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</si>
  <si>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</si>
  <si>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</si>
  <si>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</si>
  <si>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</si>
  <si>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</si>
  <si>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</si>
  <si>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</si>
  <si>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</si>
  <si>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</si>
  <si>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</si>
  <si>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</si>
  <si>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</si>
  <si>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</si>
  <si>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</si>
  <si>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</si>
  <si>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</si>
  <si>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</si>
  <si>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</si>
  <si>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</si>
  <si>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</si>
  <si>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</si>
  <si>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</si>
  <si>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</si>
  <si>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</si>
  <si>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</si>
  <si>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</si>
  <si>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</si>
  <si>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</si>
  <si>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</si>
  <si>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</si>
  <si>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</si>
  <si>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</si>
  <si>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</si>
  <si>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</si>
  <si>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</si>
  <si>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</si>
  <si>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</si>
  <si>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</si>
  <si>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</si>
  <si>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</si>
  <si>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</si>
  <si>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</si>
  <si>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</si>
  <si>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</si>
  <si>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</si>
  <si>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</si>
  <si>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</si>
  <si>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</si>
  <si>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</si>
  <si>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</si>
  <si>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</si>
  <si>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</si>
  <si>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</si>
  <si>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</si>
  <si>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</si>
  <si>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</si>
  <si>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</si>
  <si>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</si>
  <si>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</si>
  <si>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</si>
  <si>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</si>
  <si>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</si>
  <si>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</si>
  <si>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</si>
  <si>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</si>
  <si>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</si>
  <si>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</si>
  <si>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</si>
  <si>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</si>
  <si>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</si>
  <si>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</si>
  <si>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</si>
  <si>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</si>
  <si>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</si>
  <si>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</si>
  <si>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</si>
  <si>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</si>
  <si>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</si>
  <si>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</si>
  <si>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</si>
  <si>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</si>
  <si>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</si>
  <si>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</si>
  <si>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</si>
  <si>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</si>
  <si>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</si>
  <si>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</si>
  <si>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</si>
  <si>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</si>
  <si>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</si>
  <si>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</si>
  <si>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</si>
  <si>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</si>
  <si>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</si>
  <si>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</si>
  <si>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</si>
  <si>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</si>
  <si>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</si>
  <si>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</si>
  <si>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</si>
  <si>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</si>
  <si>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</si>
  <si>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</si>
  <si>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</si>
  <si>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</si>
  <si>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</si>
  <si>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</si>
  <si>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</si>
  <si>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</si>
  <si>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</si>
  <si>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</si>
  <si>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</si>
  <si>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</si>
  <si>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</si>
  <si>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</si>
  <si>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</si>
  <si>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</si>
  <si>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</si>
  <si>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</si>
  <si>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</si>
  <si>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</si>
  <si>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</si>
  <si>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</si>
  <si>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</si>
  <si>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</si>
  <si>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</si>
  <si>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</si>
  <si>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</si>
  <si>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</si>
  <si>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</si>
  <si>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</si>
  <si>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</si>
  <si>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</si>
  <si>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</si>
  <si>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</si>
  <si>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</si>
  <si>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</si>
  <si>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</si>
  <si>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</si>
  <si>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</si>
  <si>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</si>
  <si>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</si>
  <si>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</si>
  <si>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</si>
  <si>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</si>
  <si>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</si>
  <si>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</si>
  <si>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</si>
  <si>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</si>
  <si>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</si>
  <si>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</si>
  <si>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</si>
  <si>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</si>
  <si>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</si>
  <si>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</si>
  <si>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</si>
  <si>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</si>
  <si>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</si>
  <si>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</si>
  <si>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</si>
  <si>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</si>
  <si>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</si>
  <si>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</si>
  <si>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</si>
  <si>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</si>
  <si>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</si>
  <si>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</si>
  <si>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</si>
  <si>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</si>
  <si>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</si>
  <si>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</si>
  <si>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</si>
  <si>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</si>
  <si>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</si>
  <si>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</si>
  <si>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</si>
  <si>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</si>
  <si>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</si>
  <si>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</si>
  <si>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</si>
  <si>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</si>
  <si>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</si>
  <si>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</si>
  <si>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</si>
  <si>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</si>
  <si>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</si>
  <si>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</si>
  <si>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</si>
  <si>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</si>
  <si>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</si>
  <si>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</si>
  <si>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</si>
  <si>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</si>
  <si>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</si>
  <si>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</si>
  <si>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</si>
  <si>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</si>
  <si>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</si>
  <si>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</si>
  <si>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</si>
  <si>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</si>
  <si>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</si>
  <si>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</si>
  <si>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</si>
  <si>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</si>
  <si>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</si>
  <si>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</si>
  <si>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</si>
  <si>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</si>
  <si>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</si>
  <si>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</si>
  <si>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</si>
  <si>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</si>
  <si>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</si>
  <si>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</si>
  <si>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</si>
  <si>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</si>
  <si>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</si>
  <si>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</si>
  <si>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</si>
  <si>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</si>
  <si>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</si>
  <si>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</si>
  <si>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</si>
  <si>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</si>
  <si>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</si>
  <si>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</si>
  <si>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</si>
  <si>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</si>
  <si>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</si>
  <si>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</si>
  <si>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</si>
  <si>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</si>
  <si>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</si>
  <si>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</si>
  <si>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</si>
  <si>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</si>
  <si>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</si>
  <si>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</si>
  <si>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</si>
  <si>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</si>
  <si>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</si>
  <si>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</si>
  <si>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</si>
  <si>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</si>
  <si>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</si>
  <si>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</si>
  <si>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</si>
  <si>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</si>
  <si>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</si>
  <si>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</si>
  <si>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</si>
  <si>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</si>
  <si>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</si>
  <si>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</si>
  <si>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</si>
  <si>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</si>
  <si>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</si>
  <si>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</si>
  <si>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</si>
  <si>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</si>
  <si>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</si>
  <si>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</si>
  <si>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</si>
  <si>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</si>
  <si>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</si>
  <si>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</si>
  <si>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</si>
  <si>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</si>
  <si>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</si>
  <si>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</si>
  <si>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</si>
  <si>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</si>
  <si>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</si>
  <si>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</si>
  <si>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</si>
  <si>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</si>
  <si>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</si>
  <si>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</si>
  <si>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</si>
  <si>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</si>
  <si>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</si>
  <si>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</si>
  <si>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</si>
  <si>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</si>
  <si>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</si>
  <si>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</si>
  <si>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</si>
  <si>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</si>
  <si>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</si>
  <si>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</si>
  <si>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</si>
  <si>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</si>
  <si>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</si>
  <si>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</si>
  <si>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</si>
  <si>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</si>
  <si>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</si>
  <si>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</si>
  <si>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</si>
  <si>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</si>
  <si>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</si>
  <si>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</si>
  <si>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</si>
  <si>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</si>
  <si>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</si>
  <si>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</si>
  <si>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</si>
  <si>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</si>
  <si>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</si>
  <si>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</si>
  <si>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</si>
  <si>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</si>
  <si>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</si>
  <si>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</si>
  <si>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</si>
  <si>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</si>
  <si>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</si>
  <si>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</si>
  <si>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</si>
  <si>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</si>
  <si>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</si>
  <si>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</si>
  <si>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</si>
  <si>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</si>
  <si>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</si>
  <si>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</si>
  <si>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</si>
  <si>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</si>
  <si>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</si>
  <si>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</si>
  <si>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</si>
  <si>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</si>
  <si>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</si>
  <si>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</si>
  <si>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</si>
  <si>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</si>
  <si>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</si>
  <si>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</si>
  <si>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</si>
  <si>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</si>
  <si>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</si>
  <si>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</si>
  <si>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</si>
  <si>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</si>
  <si>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</si>
  <si>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</si>
  <si>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</si>
  <si>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</si>
  <si>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</si>
  <si>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</si>
  <si>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</si>
  <si>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</si>
  <si>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</si>
  <si>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</si>
  <si>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</si>
  <si>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</si>
  <si>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</si>
  <si>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</si>
  <si>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</si>
  <si>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</si>
  <si>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</si>
  <si>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</si>
  <si>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</si>
  <si>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</si>
  <si>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</si>
  <si>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</si>
  <si>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</si>
  <si>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</si>
  <si>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</si>
  <si>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</si>
  <si>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</si>
  <si>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</si>
  <si>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</si>
  <si>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</si>
  <si>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</si>
  <si>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</si>
  <si>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</si>
  <si>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</si>
  <si>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</si>
  <si>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</si>
  <si>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</si>
  <si>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</si>
  <si>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</si>
  <si>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</si>
  <si>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</si>
  <si>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</si>
  <si>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</si>
  <si>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</si>
  <si>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</si>
  <si>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</si>
  <si>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</si>
  <si>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</si>
  <si>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</si>
  <si>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</si>
  <si>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</si>
  <si>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</si>
  <si>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</si>
  <si>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</si>
  <si>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</si>
  <si>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</si>
  <si>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</si>
  <si>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</si>
  <si>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</si>
  <si>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</si>
  <si>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</si>
  <si>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</si>
  <si>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</si>
  <si>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</si>
  <si>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</si>
  <si>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</si>
  <si>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</si>
  <si>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</si>
  <si>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</si>
  <si>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</si>
  <si>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</si>
  <si>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</si>
  <si>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</si>
  <si>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</si>
  <si>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</si>
  <si>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</si>
  <si>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</si>
  <si>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</si>
  <si>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</si>
  <si>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</si>
  <si>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</si>
  <si>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</si>
  <si>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</si>
  <si>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</si>
  <si>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</si>
  <si>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</si>
  <si>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</si>
  <si>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</si>
  <si>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</si>
  <si>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</si>
  <si>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</si>
  <si>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</si>
  <si>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</si>
  <si>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</si>
  <si>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</si>
  <si>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</si>
  <si>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</si>
  <si>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</si>
  <si>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</si>
  <si>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</si>
  <si>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</si>
  <si>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</si>
  <si>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</si>
  <si>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</si>
  <si>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</si>
  <si>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</si>
  <si>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</si>
  <si>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</si>
  <si>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</si>
  <si>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</si>
  <si>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</si>
  <si>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</si>
  <si>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</si>
  <si>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</si>
  <si>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</si>
  <si>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</si>
  <si>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</si>
  <si>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</si>
  <si>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</si>
  <si>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</si>
  <si>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</si>
  <si>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</si>
  <si>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</si>
  <si>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</si>
  <si>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</si>
  <si>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</si>
  <si>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</si>
  <si>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</si>
  <si>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</si>
  <si>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</si>
  <si>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</si>
  <si>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</si>
  <si>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</si>
  <si>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</si>
  <si>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</si>
  <si>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</si>
  <si>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</si>
  <si>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</si>
  <si>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</si>
  <si>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</si>
  <si>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</si>
  <si>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</si>
  <si>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</si>
  <si>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</si>
  <si>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</si>
  <si>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</si>
  <si>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</si>
  <si>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</si>
  <si>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</si>
  <si>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</si>
  <si>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</si>
  <si>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</si>
  <si>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</si>
  <si>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</si>
  <si>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</si>
  <si>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</si>
  <si>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</si>
  <si>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</si>
  <si>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</si>
  <si>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</si>
  <si>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</si>
  <si>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</si>
  <si>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</si>
  <si>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</si>
  <si>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</si>
  <si>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</si>
  <si>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</si>
  <si>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</si>
  <si>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</si>
  <si>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</si>
  <si>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</si>
  <si>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</si>
  <si>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</si>
  <si>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</si>
  <si>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</si>
  <si>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</si>
  <si>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</si>
  <si>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</si>
  <si>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</si>
  <si>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</si>
  <si>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</si>
  <si>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</si>
  <si>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</si>
  <si>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</si>
  <si>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</si>
  <si>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</si>
  <si>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</si>
  <si>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</si>
  <si>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</si>
  <si>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</si>
  <si>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</si>
  <si>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</si>
  <si>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</si>
  <si>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</si>
  <si>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</si>
  <si>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</si>
  <si>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</si>
  <si>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</si>
  <si>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</si>
  <si>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</si>
  <si>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</si>
  <si>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</si>
  <si>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</si>
  <si>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</si>
  <si>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</si>
  <si>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</si>
  <si>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</si>
  <si>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</si>
  <si>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</si>
  <si>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</si>
  <si>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</si>
  <si>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</si>
  <si>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</si>
  <si>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</si>
  <si>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</si>
  <si>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</si>
  <si>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</si>
  <si>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</si>
  <si>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</si>
  <si>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</si>
  <si>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</si>
  <si>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</si>
  <si>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</si>
  <si>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</si>
  <si>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</si>
  <si>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</si>
  <si>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</si>
  <si>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</si>
  <si>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</si>
  <si>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</si>
  <si>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</si>
  <si>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</si>
  <si>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</si>
  <si>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</si>
  <si>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</si>
  <si>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</si>
  <si>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</si>
  <si>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</si>
  <si>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</si>
  <si>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</si>
  <si>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</si>
  <si>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</si>
  <si>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</si>
  <si>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</si>
  <si>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</si>
  <si>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</si>
  <si>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</si>
  <si>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</si>
  <si>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</si>
  <si>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</si>
  <si>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</si>
  <si>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</si>
  <si>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</si>
  <si>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</si>
  <si>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</si>
  <si>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</si>
  <si>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</si>
  <si>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</si>
  <si>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</si>
  <si>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</si>
  <si>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</si>
  <si>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</si>
  <si>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</si>
  <si>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</si>
  <si>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</si>
  <si>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</si>
  <si>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</si>
  <si>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</si>
  <si>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</si>
  <si>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</si>
  <si>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</si>
  <si>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</si>
  <si>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</si>
  <si>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</si>
  <si>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</si>
  <si>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</si>
  <si>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</si>
  <si>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</si>
  <si>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</si>
  <si>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</si>
  <si>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</si>
  <si>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</si>
  <si>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</si>
  <si>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</si>
  <si>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</si>
  <si>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</si>
  <si>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</si>
  <si>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</si>
  <si>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</si>
  <si>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</si>
  <si>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</si>
  <si>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</si>
  <si>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</si>
  <si>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</si>
  <si>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</si>
  <si>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</si>
  <si>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</si>
  <si>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</si>
  <si>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</si>
  <si>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</si>
  <si>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</si>
  <si>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</si>
  <si>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</si>
  <si>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</si>
  <si>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</si>
  <si>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</si>
  <si>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</si>
  <si>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</si>
  <si>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</si>
  <si>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</si>
  <si>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</si>
  <si>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</si>
  <si>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</si>
  <si>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</si>
  <si>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</si>
  <si>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</si>
  <si>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</si>
  <si>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</si>
  <si>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</si>
  <si>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</si>
  <si>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</si>
  <si>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</si>
  <si>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</si>
  <si>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</si>
  <si>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</si>
  <si>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</si>
  <si>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</si>
  <si>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</si>
  <si>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</si>
  <si>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</si>
  <si>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</si>
  <si>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</si>
  <si>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</si>
  <si>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</si>
  <si>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</si>
  <si>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</si>
  <si>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</si>
  <si>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</si>
  <si>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</si>
  <si>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</si>
  <si>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</si>
  <si>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</si>
  <si>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</si>
  <si>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</si>
  <si>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</si>
  <si>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</si>
  <si>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</si>
  <si>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</si>
  <si>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</si>
  <si>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</si>
  <si>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</si>
  <si>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</si>
  <si>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</si>
  <si>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</si>
  <si>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</si>
  <si>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</si>
  <si>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</si>
  <si>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</si>
  <si>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</si>
  <si>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</si>
  <si>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</si>
  <si>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</si>
  <si>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</si>
  <si>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</si>
  <si>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</si>
  <si>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</si>
  <si>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</si>
  <si>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</si>
  <si>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</si>
  <si>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</si>
  <si>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</si>
  <si>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</si>
  <si>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</si>
  <si>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</si>
  <si>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</si>
  <si>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</si>
  <si>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</si>
  <si>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</si>
  <si>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</si>
  <si>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</si>
  <si>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</si>
  <si>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</si>
  <si>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</si>
  <si>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</si>
  <si>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</si>
  <si>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</si>
  <si>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</si>
  <si>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</si>
  <si>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</si>
  <si>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</si>
  <si>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</si>
  <si>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</si>
  <si>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</si>
  <si>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</si>
  <si>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</si>
  <si>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</si>
  <si>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</si>
  <si>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</si>
  <si>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</si>
  <si>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</si>
  <si>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</si>
  <si>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</si>
  <si>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</si>
  <si>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</si>
  <si>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</si>
  <si>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</si>
  <si>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</si>
  <si>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</si>
  <si>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</si>
  <si>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</si>
  <si>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</si>
  <si>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</si>
  <si>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</si>
  <si>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</si>
  <si>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</si>
  <si>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</si>
  <si>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</si>
  <si>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</si>
  <si>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</si>
  <si>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</si>
  <si>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</si>
  <si>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</si>
  <si>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</si>
  <si>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</si>
  <si>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</si>
  <si>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</si>
  <si>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</si>
  <si>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</si>
  <si>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</si>
  <si>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</si>
  <si>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</si>
  <si>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</si>
  <si>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</si>
  <si>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</si>
  <si>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</si>
  <si>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</si>
  <si>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</si>
  <si>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</si>
  <si>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</si>
  <si>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</si>
  <si>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</si>
  <si>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</si>
  <si>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</si>
  <si>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</si>
  <si>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</si>
  <si>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</si>
  <si>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</si>
  <si>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</si>
  <si>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</si>
  <si>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</si>
  <si>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</si>
  <si>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</si>
  <si>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</si>
  <si>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</si>
  <si>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</si>
  <si>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</si>
  <si>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</si>
  <si>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</si>
  <si>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</si>
  <si>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</si>
  <si>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</si>
  <si>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</si>
  <si>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</si>
  <si>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</si>
  <si>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</si>
  <si>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</si>
  <si>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</si>
  <si>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</si>
  <si>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</si>
  <si>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</si>
  <si>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</si>
  <si>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</si>
  <si>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</si>
  <si>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</si>
  <si>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</si>
  <si>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</si>
  <si>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</si>
  <si>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</si>
  <si>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</si>
  <si>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</si>
  <si>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</si>
  <si>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</si>
  <si>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</si>
  <si>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</si>
  <si>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</si>
  <si>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</si>
  <si>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</si>
  <si>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</si>
  <si>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</si>
  <si>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</si>
  <si>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</si>
  <si>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</si>
  <si>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</si>
  <si>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</si>
  <si>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</si>
  <si>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</si>
  <si>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</si>
  <si>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</si>
  <si>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</si>
  <si>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</si>
  <si>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</si>
  <si>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</si>
  <si>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</si>
  <si>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</si>
  <si>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</si>
  <si>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</si>
  <si>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</si>
  <si>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</si>
  <si>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</si>
  <si>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</si>
  <si>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</si>
  <si>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</si>
  <si>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</si>
  <si>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</si>
  <si>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</si>
  <si>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</si>
  <si>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</si>
  <si>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</si>
  <si>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</si>
  <si>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</si>
  <si>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</si>
  <si>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</si>
  <si>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</si>
  <si>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</si>
  <si>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</si>
  <si>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</si>
  <si>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</si>
  <si>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</si>
  <si>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</si>
  <si>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</si>
  <si>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</si>
  <si>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</si>
  <si>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</si>
  <si>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</si>
  <si>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</si>
  <si>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</si>
  <si>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</si>
  <si>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</si>
  <si>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</si>
  <si>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</si>
  <si>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</si>
  <si>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</si>
  <si>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</si>
  <si>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</si>
  <si>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</si>
  <si>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</si>
  <si>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</si>
  <si>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</si>
  <si>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</si>
  <si>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</si>
  <si>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</si>
  <si>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</si>
  <si>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</si>
  <si>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</si>
  <si>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</si>
  <si>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</si>
  <si>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</si>
  <si>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</si>
  <si>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</si>
  <si>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</si>
  <si>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</si>
  <si>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</si>
  <si>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</si>
  <si>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</si>
  <si>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</si>
  <si>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</si>
  <si>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</si>
  <si>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</si>
  <si>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</si>
  <si>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</si>
  <si>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</si>
  <si>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</si>
  <si>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</si>
  <si>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</si>
  <si>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</si>
  <si>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</si>
  <si>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</si>
  <si>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</si>
  <si>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</si>
  <si>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</si>
  <si>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</si>
  <si>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</si>
  <si>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</si>
  <si>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</si>
  <si>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</si>
  <si>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</si>
  <si>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</si>
  <si>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</si>
  <si>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</si>
  <si>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</si>
  <si>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</si>
  <si>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</si>
  <si>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</si>
  <si>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</si>
  <si>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</si>
  <si>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</si>
  <si>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</si>
  <si>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</si>
  <si>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</si>
  <si>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</si>
  <si>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</si>
  <si>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</si>
  <si>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</si>
  <si>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</si>
  <si>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</si>
  <si>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</si>
  <si>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</si>
  <si>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</si>
  <si>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</si>
  <si>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</si>
  <si>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</si>
  <si>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</si>
  <si>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</si>
  <si>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</si>
  <si>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</si>
  <si>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</si>
  <si>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</si>
  <si>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</si>
  <si>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</si>
  <si>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</si>
  <si>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</si>
  <si>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</si>
  <si>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</si>
  <si>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</si>
  <si>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</si>
  <si>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</si>
  <si>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</si>
  <si>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</si>
  <si>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</si>
  <si>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</si>
  <si>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</si>
  <si>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</si>
  <si>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</si>
  <si>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</si>
  <si>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</si>
  <si>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</si>
  <si>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</si>
  <si>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</si>
  <si>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</si>
  <si>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</si>
  <si>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</si>
  <si>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</si>
  <si>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</si>
  <si>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</si>
  <si>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</si>
  <si>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</si>
  <si>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</si>
  <si>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</si>
  <si>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</si>
  <si>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</si>
  <si>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</si>
  <si>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</si>
  <si>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</si>
  <si>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</si>
  <si>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</si>
  <si>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</si>
  <si>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</si>
  <si>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</si>
  <si>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</si>
  <si>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</si>
  <si>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</si>
  <si>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</si>
  <si>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</si>
  <si>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</si>
  <si>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</si>
  <si>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</si>
  <si>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</si>
  <si>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</si>
  <si>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</si>
  <si>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</si>
  <si>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</si>
  <si>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</si>
  <si>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</si>
  <si>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</si>
  <si>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</si>
  <si>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</si>
  <si>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</si>
  <si>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</si>
  <si>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</si>
  <si>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</si>
  <si>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</si>
  <si>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</si>
  <si>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</si>
  <si>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</si>
  <si>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</si>
  <si>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</si>
  <si>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</si>
  <si>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</si>
  <si>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</si>
  <si>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</si>
  <si>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</si>
  <si>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</si>
  <si>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</si>
  <si>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</si>
  <si>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</si>
  <si>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</si>
  <si>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</si>
  <si>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</si>
  <si>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</si>
  <si>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</si>
  <si>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</si>
  <si>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</si>
  <si>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</si>
  <si>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</si>
  <si>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</si>
  <si>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</si>
  <si>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</si>
  <si>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</si>
  <si>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</si>
  <si>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</si>
  <si>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</si>
  <si>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</si>
  <si>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</si>
  <si>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</si>
  <si>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</si>
  <si>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</si>
  <si>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</si>
  <si>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</si>
  <si>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</si>
  <si>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</si>
  <si>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</si>
  <si>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</si>
  <si>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</si>
  <si>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</si>
  <si>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</si>
  <si>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</si>
  <si>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</si>
  <si>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</si>
  <si>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</si>
  <si>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</si>
  <si>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</si>
  <si>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</si>
  <si>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</si>
  <si>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</si>
  <si>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</si>
  <si>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</si>
  <si>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</si>
  <si>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</si>
  <si>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</si>
  <si>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</si>
  <si>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</si>
  <si>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</si>
  <si>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</si>
  <si>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</si>
  <si>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</si>
  <si>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</si>
  <si>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</si>
  <si>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</si>
  <si>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</si>
  <si>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</si>
  <si>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</si>
  <si>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</si>
  <si>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</si>
  <si>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</si>
  <si>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</si>
  <si>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</si>
  <si>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</si>
  <si>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</si>
  <si>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</si>
  <si>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</si>
  <si>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</si>
  <si>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</si>
  <si>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</si>
  <si>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</si>
  <si>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</si>
  <si>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</si>
  <si>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</si>
  <si>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</si>
  <si>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</si>
  <si>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</si>
  <si>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</si>
  <si>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</si>
  <si>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</si>
  <si>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</si>
  <si>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</si>
  <si>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</si>
  <si>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</si>
  <si>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</si>
  <si>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</si>
  <si>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</si>
  <si>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</si>
  <si>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</si>
  <si>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</si>
  <si>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</si>
  <si>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</si>
  <si>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</si>
  <si>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</si>
  <si>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</si>
  <si>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</si>
  <si>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</si>
  <si>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</si>
  <si>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</si>
  <si>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</si>
  <si>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</si>
  <si>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</si>
  <si>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</si>
  <si>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</si>
  <si>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</si>
  <si>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</si>
  <si>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</si>
  <si>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</si>
  <si>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</si>
  <si>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</si>
  <si>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</si>
  <si>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</si>
  <si>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</si>
  <si>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</si>
  <si>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</si>
  <si>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</si>
  <si>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</si>
  <si>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</si>
  <si>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</si>
  <si>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</si>
  <si>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</si>
  <si>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</si>
  <si>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</si>
  <si>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</si>
  <si>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</si>
  <si>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</si>
  <si>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</si>
  <si>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</si>
  <si>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</si>
  <si>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</si>
  <si>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</si>
  <si>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</si>
  <si>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</si>
  <si>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</si>
  <si>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</si>
  <si>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</si>
  <si>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</si>
  <si>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</si>
  <si>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</si>
  <si>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</si>
  <si>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</si>
  <si>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</si>
  <si>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</si>
  <si>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</si>
  <si>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</si>
  <si>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</si>
  <si>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</si>
  <si>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</si>
  <si>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</si>
  <si>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</si>
  <si>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</si>
  <si>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</si>
  <si>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</si>
  <si>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</si>
  <si>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</si>
  <si>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</si>
  <si>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</si>
  <si>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</si>
  <si>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</si>
  <si>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</si>
  <si>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</si>
  <si>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</si>
  <si>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</si>
  <si>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</si>
  <si>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</si>
  <si>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</si>
  <si>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</si>
  <si>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</si>
  <si>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</si>
  <si>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</si>
  <si>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</si>
  <si>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</si>
  <si>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</si>
  <si>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</si>
  <si>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</si>
  <si>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</si>
  <si>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</si>
  <si>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</si>
  <si>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</si>
  <si>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</si>
  <si>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</si>
  <si>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</si>
  <si>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</si>
  <si>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</si>
  <si>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</si>
  <si>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</si>
  <si>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</si>
  <si>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</si>
  <si>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</si>
  <si>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</si>
  <si>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</si>
  <si>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</si>
  <si>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</si>
  <si>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</si>
  <si>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</si>
  <si>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</si>
  <si>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</si>
  <si>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</si>
  <si>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</si>
  <si>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</si>
  <si>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</si>
  <si>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</si>
  <si>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</si>
  <si>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</si>
  <si>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</si>
  <si>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</si>
  <si>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</si>
  <si>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</si>
  <si>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</si>
  <si>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</si>
  <si>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</si>
  <si>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</si>
  <si>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</si>
  <si>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</si>
  <si>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</si>
  <si>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</si>
  <si>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</si>
  <si>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</si>
  <si>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</si>
  <si>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</si>
  <si>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</si>
  <si>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</si>
  <si>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</si>
  <si>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</si>
  <si>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</si>
  <si>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</si>
  <si>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</si>
  <si>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</si>
  <si>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</si>
  <si>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</si>
  <si>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</si>
  <si>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</si>
  <si>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</si>
  <si>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</si>
  <si>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</si>
  <si>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</si>
  <si>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</si>
  <si>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</si>
  <si>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</si>
  <si>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</si>
  <si>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</si>
  <si>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</si>
  <si>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</si>
  <si>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</si>
  <si>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</si>
  <si>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</si>
  <si>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</si>
  <si>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</si>
  <si>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</si>
  <si>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</si>
  <si>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</si>
  <si>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</si>
  <si>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</si>
  <si>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</si>
  <si>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</si>
  <si>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</si>
  <si>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</si>
  <si>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</si>
  <si>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</si>
  <si>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</si>
  <si>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</si>
  <si>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</si>
  <si>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</si>
  <si>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</si>
  <si>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</si>
  <si>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</si>
  <si>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</si>
  <si>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</si>
  <si>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</si>
  <si>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</si>
  <si>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</si>
  <si>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</si>
  <si>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</si>
  <si>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</si>
  <si>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</si>
  <si>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</si>
  <si>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</si>
  <si>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</si>
  <si>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</si>
  <si>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</si>
  <si>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</si>
  <si>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</si>
  <si>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</si>
  <si>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</si>
  <si>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</si>
  <si>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</si>
  <si>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</si>
  <si>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</si>
  <si>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</si>
  <si>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</si>
  <si>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</si>
  <si>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</si>
  <si>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</si>
  <si>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</si>
  <si>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</si>
  <si>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</si>
  <si>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</si>
  <si>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</si>
  <si>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</si>
  <si>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</si>
  <si>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</si>
  <si>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</si>
  <si>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</si>
  <si>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</si>
  <si>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</si>
  <si>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</si>
  <si>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</si>
  <si>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</si>
  <si>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</si>
  <si>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</si>
  <si>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</si>
  <si>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</si>
  <si>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</si>
  <si>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</si>
  <si>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</si>
  <si>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</si>
  <si>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</si>
  <si>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</si>
  <si>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</si>
  <si>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</si>
  <si>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</si>
  <si>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</si>
  <si>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</si>
  <si>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</si>
  <si>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</si>
  <si>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</si>
  <si>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</si>
  <si>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</si>
  <si>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</si>
  <si>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</si>
  <si>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</si>
  <si>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</si>
  <si>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</si>
  <si>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</si>
  <si>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</si>
  <si>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</si>
  <si>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</si>
  <si>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</si>
  <si>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</si>
  <si>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</si>
  <si>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</si>
  <si>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</si>
  <si>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</si>
  <si>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</si>
  <si>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</si>
  <si>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</si>
  <si>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</si>
  <si>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</si>
  <si>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</si>
  <si>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</si>
  <si>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</si>
  <si>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</si>
  <si>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</si>
  <si>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</si>
  <si>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</si>
  <si>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</si>
  <si>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</si>
  <si>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</si>
  <si>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</si>
  <si>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</si>
  <si>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</si>
  <si>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</si>
  <si>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</si>
  <si>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</si>
  <si>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</si>
  <si>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</si>
  <si>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</si>
  <si>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</si>
  <si>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</si>
  <si>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</si>
  <si>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</si>
  <si>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</si>
  <si>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</si>
  <si>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</si>
  <si>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</si>
  <si>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</si>
  <si>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</si>
  <si>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</si>
  <si>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</si>
  <si>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</si>
  <si>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</si>
  <si>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</si>
  <si>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</si>
  <si>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</si>
  <si>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</si>
  <si>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</si>
  <si>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</si>
  <si>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</si>
  <si>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</si>
  <si>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</si>
  <si>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</si>
  <si>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</si>
  <si>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</si>
  <si>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</si>
  <si>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</si>
  <si>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</si>
  <si>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</si>
  <si>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</si>
  <si>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</si>
  <si>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</si>
  <si>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</si>
  <si>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</si>
  <si>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</si>
  <si>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</si>
  <si>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</si>
  <si>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</si>
  <si>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</si>
  <si>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</si>
  <si>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</si>
  <si>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</si>
  <si>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</si>
  <si>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</si>
  <si>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</si>
  <si>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</si>
  <si>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</si>
  <si>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</si>
  <si>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</si>
  <si>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</si>
  <si>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</si>
  <si>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</si>
  <si>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</si>
  <si>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</si>
  <si>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</si>
  <si>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</si>
  <si>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</si>
  <si>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</si>
  <si>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</si>
  <si>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</si>
  <si>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</si>
  <si>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</si>
  <si>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</si>
  <si>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</si>
  <si>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</si>
  <si>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</si>
  <si>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</si>
  <si>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</si>
  <si>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</si>
  <si>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</si>
  <si>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</si>
  <si>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</si>
  <si>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</si>
  <si>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</si>
  <si>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</si>
  <si>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</si>
  <si>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</si>
  <si>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</si>
  <si>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</si>
  <si>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</si>
  <si>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</si>
  <si>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</si>
  <si>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</si>
  <si>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</si>
  <si>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</si>
  <si>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</si>
  <si>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</si>
  <si>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</si>
  <si>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</si>
  <si>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</si>
  <si>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</si>
  <si>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</si>
  <si>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</si>
  <si>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</si>
  <si>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</si>
  <si>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</si>
  <si>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</si>
  <si>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</si>
  <si>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</si>
  <si>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</si>
  <si>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</si>
  <si>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</si>
  <si>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</si>
  <si>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</si>
  <si>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</si>
  <si>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</si>
  <si>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</si>
  <si>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</si>
  <si>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</si>
  <si>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</si>
  <si>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</si>
  <si>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</si>
  <si>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</si>
  <si>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</si>
  <si>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</si>
  <si>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</si>
  <si>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</si>
  <si>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</si>
  <si>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</si>
  <si>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</si>
  <si>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</si>
  <si>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</si>
  <si>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</si>
  <si>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</si>
  <si>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</si>
  <si>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</si>
  <si>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</si>
  <si>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</si>
  <si>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</si>
  <si>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</si>
  <si>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</si>
  <si>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</si>
  <si>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</si>
  <si>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</si>
  <si>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</si>
  <si>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</si>
  <si>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</si>
  <si>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</si>
  <si>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</si>
  <si>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</si>
  <si>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</si>
  <si>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</si>
  <si>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</si>
  <si>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</si>
  <si>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</si>
  <si>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</si>
  <si>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</si>
  <si>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</si>
  <si>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</si>
  <si>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</si>
  <si>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</si>
  <si>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</si>
  <si>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</si>
  <si>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</si>
  <si>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</si>
  <si>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</si>
  <si>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</si>
  <si>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</si>
  <si>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</si>
  <si>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</si>
  <si>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</si>
  <si>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</si>
  <si>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</si>
  <si>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</si>
  <si>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</si>
  <si>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</si>
  <si>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</si>
  <si>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</si>
  <si>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</si>
  <si>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</si>
  <si>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</si>
  <si>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</si>
  <si>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</si>
  <si>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</si>
  <si>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</si>
  <si>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</si>
  <si>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</si>
  <si>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</si>
  <si>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</si>
  <si>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</si>
  <si>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</si>
  <si>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</si>
  <si>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</si>
  <si>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</si>
  <si>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</si>
  <si>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</si>
  <si>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</si>
  <si>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</si>
  <si>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</si>
  <si>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</si>
  <si>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</si>
  <si>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</si>
  <si>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</si>
  <si>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</si>
  <si>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</si>
  <si>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</si>
  <si>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</si>
  <si>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</si>
  <si>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</si>
  <si>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</si>
  <si>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</si>
  <si>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</si>
  <si>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</si>
  <si>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</si>
  <si>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</si>
  <si>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</si>
  <si>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</si>
  <si>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</si>
  <si>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</si>
  <si>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</si>
  <si>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</si>
  <si>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</si>
  <si>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</si>
  <si>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</si>
  <si>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</si>
  <si>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</si>
  <si>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</si>
  <si>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</si>
  <si>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</si>
  <si>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</si>
  <si>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</si>
  <si>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</si>
  <si>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</si>
  <si>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</si>
  <si>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</si>
  <si>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</si>
  <si>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</si>
  <si>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</si>
  <si>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</si>
  <si>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</si>
  <si>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</si>
  <si>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</si>
  <si>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</si>
  <si>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</si>
  <si>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</si>
  <si>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</si>
  <si>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</si>
  <si>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</si>
  <si>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</si>
  <si>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</si>
  <si>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</si>
  <si>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</si>
  <si>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</si>
  <si>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</si>
  <si>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</si>
  <si>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</si>
  <si>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</si>
  <si>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</si>
  <si>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</si>
  <si>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</si>
  <si>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</si>
  <si>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</si>
  <si>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</si>
  <si>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</si>
  <si>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</si>
  <si>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</si>
  <si>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</si>
  <si>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</si>
  <si>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</si>
  <si>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</si>
  <si>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</si>
  <si>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</si>
  <si>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</si>
  <si>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</si>
  <si>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</si>
  <si>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</si>
  <si>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</si>
  <si>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</si>
  <si>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</si>
  <si>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</si>
  <si>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</si>
  <si>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</si>
  <si>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</si>
  <si>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</si>
  <si>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</si>
  <si>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</si>
  <si>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</si>
  <si>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</si>
  <si>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</si>
  <si>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</si>
  <si>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</si>
  <si>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</si>
  <si>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</si>
  <si>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</si>
  <si>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</si>
  <si>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</si>
  <si>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</si>
  <si>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</si>
  <si>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</si>
  <si>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</si>
  <si>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</si>
  <si>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</si>
  <si>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</si>
  <si>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</si>
  <si>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</si>
  <si>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</si>
  <si>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</si>
  <si>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</si>
  <si>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</si>
  <si>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</si>
  <si>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</si>
  <si>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</si>
  <si>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</si>
  <si>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</si>
  <si>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</si>
  <si>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</si>
  <si>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</si>
  <si>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</si>
  <si>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</si>
  <si>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</si>
  <si>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</si>
  <si>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</si>
  <si>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</si>
  <si>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</si>
  <si>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</si>
  <si>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</si>
  <si>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</si>
  <si>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</si>
  <si>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</si>
  <si>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</si>
  <si>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</si>
  <si>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</si>
  <si>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</si>
  <si>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</si>
  <si>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</si>
  <si>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</si>
  <si>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</si>
  <si>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</si>
  <si>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</si>
  <si>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</si>
  <si>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</si>
  <si>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</si>
  <si>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</si>
  <si>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</si>
  <si>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</si>
  <si>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</si>
  <si>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</si>
  <si>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</si>
  <si>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</si>
  <si>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</si>
  <si>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</si>
  <si>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</si>
  <si>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</si>
  <si>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</si>
  <si>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</si>
  <si>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</si>
  <si>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</si>
  <si>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</si>
  <si>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</si>
  <si>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</si>
  <si>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</si>
  <si>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</si>
  <si>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</si>
  <si>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</si>
  <si>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</si>
  <si>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</si>
  <si>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</si>
  <si>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</si>
  <si>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</si>
  <si>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</si>
  <si>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</si>
  <si>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</si>
  <si>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</si>
  <si>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</si>
  <si>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</si>
  <si>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</si>
  <si>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</si>
  <si>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</si>
  <si>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</si>
  <si>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</si>
  <si>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</si>
  <si>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</si>
  <si>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</si>
  <si>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</si>
  <si>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</si>
  <si>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</si>
  <si>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</si>
  <si>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</si>
  <si>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</si>
  <si>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</si>
  <si>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</si>
  <si>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</si>
  <si>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</si>
  <si>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</si>
  <si>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</si>
  <si>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</si>
  <si>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</si>
  <si>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</si>
  <si>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</si>
  <si>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</si>
  <si>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</si>
  <si>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</si>
  <si>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</si>
  <si>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</si>
  <si>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</si>
  <si>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</si>
  <si>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</si>
  <si>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</si>
  <si>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</si>
  <si>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</si>
  <si>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</si>
  <si>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</si>
  <si>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</si>
  <si>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</si>
  <si>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</si>
  <si>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</si>
  <si>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</si>
  <si>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</si>
  <si>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</si>
  <si>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</si>
  <si>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</si>
  <si>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</si>
  <si>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</si>
  <si>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</si>
  <si>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</si>
  <si>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</si>
  <si>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</si>
  <si>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</si>
  <si>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</si>
  <si>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</si>
  <si>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</si>
  <si>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</si>
  <si>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</si>
  <si>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</si>
  <si>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</si>
  <si>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</si>
  <si>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</si>
  <si>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</si>
  <si>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</si>
  <si>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</si>
  <si>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</si>
  <si>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</si>
  <si>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</si>
  <si>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</si>
  <si>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</si>
  <si>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</si>
  <si>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</si>
  <si>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</si>
  <si>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</si>
  <si>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</si>
  <si>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</si>
  <si>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</si>
  <si>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</si>
  <si>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</si>
  <si>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</si>
  <si>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</si>
  <si>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</si>
  <si>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</si>
  <si>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</si>
  <si>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</si>
  <si>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</si>
  <si>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</si>
  <si>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</si>
  <si>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</si>
  <si>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</si>
  <si>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</si>
  <si>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</si>
  <si>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</si>
  <si>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</si>
  <si>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</si>
  <si>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</si>
  <si>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</si>
  <si>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</si>
  <si>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</si>
  <si>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</si>
  <si>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</si>
  <si>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</si>
  <si>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</si>
  <si>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</si>
  <si>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</si>
  <si>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</si>
  <si>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</si>
  <si>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</si>
  <si>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</si>
  <si>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</si>
  <si>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</si>
  <si>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</si>
  <si>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</si>
  <si>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</si>
  <si>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</si>
  <si>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</si>
  <si>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</si>
  <si>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</si>
  <si>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</si>
  <si>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</si>
  <si>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</si>
  <si>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</si>
  <si>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</si>
  <si>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</si>
  <si>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</si>
  <si>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</si>
  <si>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</si>
  <si>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</si>
  <si>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</si>
  <si>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</si>
  <si>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</si>
  <si>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</si>
  <si>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</si>
  <si>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</si>
  <si>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</si>
  <si>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</si>
  <si>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</si>
  <si>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</si>
  <si>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</si>
  <si>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</si>
  <si>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</si>
  <si>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</si>
  <si>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</si>
  <si>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</si>
  <si>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</si>
  <si>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</si>
  <si>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</si>
  <si>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</si>
  <si>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</si>
  <si>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</si>
  <si>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</si>
  <si>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</si>
  <si>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</si>
  <si>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</si>
  <si>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</si>
  <si>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</si>
  <si>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</si>
  <si>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</si>
  <si>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</si>
  <si>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</si>
  <si>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</si>
  <si>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</si>
  <si>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</si>
  <si>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</si>
  <si>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</si>
  <si>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</si>
  <si>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</si>
  <si>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</si>
  <si>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</si>
  <si>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</si>
  <si>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</si>
  <si>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</si>
  <si>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</si>
  <si>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</si>
  <si>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</si>
  <si>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</si>
  <si>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</si>
  <si>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</si>
  <si>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</si>
  <si>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</si>
  <si>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</si>
  <si>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</si>
  <si>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</si>
  <si>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</si>
  <si>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</si>
  <si>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</si>
  <si>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</si>
  <si>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</si>
  <si>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</si>
  <si>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</si>
  <si>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</si>
  <si>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</si>
  <si>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</si>
  <si>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</si>
  <si>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</si>
  <si>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</si>
  <si>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</si>
  <si>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</si>
  <si>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</si>
  <si>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</si>
  <si>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</si>
  <si>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</si>
  <si>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</si>
  <si>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</si>
  <si>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</si>
  <si>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</si>
  <si>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</si>
  <si>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</si>
  <si>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</si>
  <si>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</si>
  <si>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</si>
  <si>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</si>
  <si>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</si>
  <si>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</si>
  <si>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</si>
  <si>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</si>
  <si>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</si>
  <si>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</si>
  <si>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</si>
  <si>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</si>
  <si>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</si>
  <si>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</si>
  <si>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</si>
  <si>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</si>
  <si>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</si>
  <si>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</si>
  <si>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</si>
  <si>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</si>
  <si>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</si>
  <si>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</si>
  <si>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</si>
  <si>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</si>
  <si>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</si>
  <si>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</si>
  <si>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</si>
  <si>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</si>
  <si>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</si>
  <si>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</si>
  <si>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</si>
  <si>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</si>
  <si>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</si>
  <si>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</si>
  <si>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</si>
  <si>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</si>
  <si>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</si>
  <si>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</si>
  <si>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</si>
  <si>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</si>
  <si>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</si>
  <si>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</si>
  <si>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</si>
  <si>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</si>
  <si>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</si>
  <si>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</si>
  <si>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</si>
  <si>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</si>
  <si>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</si>
  <si>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</si>
  <si>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</si>
  <si>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</si>
  <si>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</si>
  <si>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</si>
  <si>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</si>
  <si>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</si>
  <si>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</si>
  <si>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</si>
  <si>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</si>
  <si>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</si>
  <si>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</si>
  <si>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</si>
  <si>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</si>
  <si>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</si>
  <si>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</si>
  <si>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</si>
  <si>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</si>
  <si>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</si>
  <si>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</si>
  <si>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</si>
  <si>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</si>
  <si>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</si>
  <si>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</si>
  <si>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</si>
  <si>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</si>
  <si>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</si>
  <si>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</si>
  <si>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</si>
  <si>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</si>
  <si>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</si>
  <si>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</si>
  <si>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</si>
  <si>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</si>
  <si>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</si>
  <si>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</si>
  <si>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</si>
  <si>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</si>
  <si>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</si>
  <si>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</si>
  <si>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</si>
  <si>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</si>
  <si>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</si>
  <si>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</si>
  <si>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</si>
  <si>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</si>
  <si>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</si>
  <si>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</si>
  <si>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</si>
  <si>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</si>
  <si>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</si>
  <si>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</si>
  <si>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</si>
  <si>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</si>
  <si>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</si>
  <si>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</si>
  <si>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</si>
  <si>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</si>
  <si>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</si>
  <si>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</si>
  <si>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</si>
  <si>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</si>
  <si>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</si>
  <si>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</si>
  <si>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</si>
  <si>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</si>
  <si>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</si>
  <si>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</si>
  <si>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</si>
  <si>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</si>
  <si>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</si>
  <si>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</si>
  <si>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</si>
  <si>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</si>
  <si>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</si>
  <si>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</si>
  <si>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</si>
  <si>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</si>
  <si>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</si>
  <si>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</si>
  <si>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</si>
  <si>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</si>
  <si>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</si>
  <si>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</si>
  <si>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</si>
  <si>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</si>
  <si>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</si>
  <si>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</si>
  <si>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</si>
  <si>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</si>
  <si>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</si>
  <si>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</si>
  <si>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</si>
  <si>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</si>
  <si>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</si>
  <si>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</si>
  <si>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</si>
  <si>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</si>
  <si>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</si>
  <si>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</si>
  <si>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</si>
  <si>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</si>
  <si>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</si>
  <si>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</si>
  <si>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</si>
  <si>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</si>
  <si>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</si>
  <si>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</si>
  <si>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</si>
  <si>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</si>
  <si>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</si>
  <si>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</si>
  <si>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</si>
  <si>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</si>
  <si>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</si>
  <si>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</si>
  <si>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</si>
  <si>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</si>
  <si>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</si>
  <si>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</si>
  <si>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</si>
  <si>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</si>
  <si>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</si>
  <si>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</si>
  <si>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</si>
  <si>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</si>
  <si>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</si>
  <si>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</si>
  <si>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</si>
  <si>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</si>
  <si>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</si>
  <si>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</si>
  <si>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</si>
  <si>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</si>
  <si>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</si>
  <si>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</si>
  <si>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</si>
  <si>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</si>
  <si>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</si>
  <si>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</si>
  <si>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</si>
  <si>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</si>
  <si>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</si>
  <si>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</si>
  <si>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</si>
  <si>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</si>
  <si>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</si>
  <si>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</si>
  <si>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</si>
  <si>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</si>
  <si>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</si>
  <si>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</si>
  <si>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</si>
  <si>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</si>
  <si>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</si>
  <si>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</si>
  <si>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</si>
  <si>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</si>
  <si>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</si>
  <si>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</si>
  <si>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</si>
  <si>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</si>
  <si>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</si>
  <si>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</si>
  <si>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</si>
  <si>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</si>
  <si>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</si>
  <si>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</si>
  <si>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</si>
  <si>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</si>
  <si>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</si>
  <si>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</si>
  <si>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</si>
  <si>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</si>
  <si>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</si>
  <si>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</si>
  <si>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</si>
  <si>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</si>
  <si>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</si>
  <si>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</si>
  <si>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</si>
  <si>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</si>
  <si>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</si>
  <si>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</si>
  <si>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</si>
  <si>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</si>
  <si>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</si>
  <si>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</si>
  <si>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</si>
  <si>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</si>
  <si>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</si>
  <si>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</si>
  <si>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</si>
  <si>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</si>
  <si>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</si>
  <si>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</si>
  <si>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</si>
  <si>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</si>
  <si>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</si>
  <si>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</si>
  <si>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</si>
  <si>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</si>
  <si>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</si>
  <si>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</si>
  <si>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</si>
  <si>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</si>
  <si>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</si>
  <si>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</si>
  <si>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</si>
  <si>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</si>
  <si>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</si>
  <si>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</si>
  <si>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</si>
  <si>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</si>
  <si>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</si>
  <si>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</si>
  <si>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</si>
  <si>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</si>
  <si>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</si>
  <si>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</si>
  <si>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</si>
  <si>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</si>
  <si>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</si>
  <si>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</si>
  <si>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</si>
  <si>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</si>
  <si>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</si>
  <si>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</si>
  <si>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</si>
  <si>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</si>
  <si>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</si>
  <si>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</si>
  <si>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</si>
  <si>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</si>
  <si>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</si>
  <si>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</si>
  <si>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</si>
  <si>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</si>
  <si>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</si>
  <si>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</si>
  <si>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</si>
  <si>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</si>
  <si>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</si>
  <si>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</si>
  <si>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</si>
  <si>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</si>
  <si>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</si>
  <si>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</si>
  <si>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</si>
  <si>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</si>
  <si>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</si>
  <si>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</si>
  <si>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</si>
  <si>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</si>
  <si>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</si>
  <si>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</si>
  <si>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</si>
  <si>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</si>
  <si>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</si>
  <si>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</si>
  <si>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</si>
  <si>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</si>
  <si>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</si>
  <si>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</si>
  <si>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</si>
  <si>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</si>
  <si>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</si>
  <si>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</si>
  <si>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</si>
  <si>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</si>
  <si>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</si>
  <si>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</si>
  <si>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</si>
  <si>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</si>
  <si>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</si>
  <si>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</si>
  <si>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</si>
  <si>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</si>
  <si>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</si>
  <si>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</si>
  <si>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</si>
  <si>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</si>
  <si>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</si>
  <si>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</si>
  <si>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</si>
  <si>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</si>
  <si>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</si>
  <si>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</si>
  <si>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</si>
  <si>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</si>
  <si>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</si>
  <si>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</si>
  <si>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</si>
  <si>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</si>
  <si>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</si>
  <si>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</si>
  <si>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</si>
  <si>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</si>
  <si>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</si>
  <si>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</si>
  <si>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</si>
  <si>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</si>
  <si>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</si>
  <si>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</si>
  <si>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</si>
  <si>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</si>
  <si>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</si>
  <si>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</si>
  <si>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</si>
  <si>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</si>
  <si>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</si>
  <si>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</si>
  <si>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</si>
  <si>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</si>
  <si>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</si>
  <si>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</si>
  <si>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</si>
  <si>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</si>
  <si>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</si>
  <si>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</si>
  <si>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</si>
  <si>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</si>
  <si>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</si>
  <si>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</si>
  <si>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</si>
  <si>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</si>
  <si>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</si>
  <si>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</si>
  <si>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</si>
  <si>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</si>
  <si>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</si>
  <si>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</si>
  <si>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</si>
  <si>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</si>
  <si>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</si>
  <si>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</si>
  <si>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</si>
  <si>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</si>
  <si>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</si>
  <si>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</si>
  <si>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</si>
  <si>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</si>
  <si>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</si>
  <si>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</si>
  <si>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</si>
  <si>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</si>
  <si>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</si>
  <si>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</si>
  <si>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</si>
  <si>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</si>
  <si>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</si>
  <si>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</si>
  <si>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</si>
  <si>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</si>
  <si>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</si>
  <si>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</si>
  <si>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</si>
  <si>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</si>
  <si>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</si>
  <si>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</si>
  <si>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</si>
  <si>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</si>
  <si>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</si>
  <si>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</si>
  <si>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</si>
  <si>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</si>
  <si>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</si>
  <si>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</si>
  <si>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</si>
  <si>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</si>
  <si>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</si>
  <si>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</si>
  <si>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</si>
  <si>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</si>
  <si>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</si>
  <si>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</si>
  <si>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</si>
  <si>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</si>
  <si>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</si>
  <si>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</si>
  <si>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</si>
  <si>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</si>
  <si>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</si>
  <si>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</si>
  <si>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</si>
  <si>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</si>
  <si>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</si>
  <si>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</si>
  <si>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</si>
  <si>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</si>
  <si>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</si>
  <si>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</si>
  <si>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</si>
  <si>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</si>
  <si>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</si>
  <si>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</si>
  <si>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</si>
  <si>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</si>
  <si>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</si>
  <si>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</si>
  <si>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</si>
  <si>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</si>
  <si>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</si>
  <si>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</si>
  <si>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</si>
  <si>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</si>
  <si>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</si>
  <si>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</si>
  <si>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</si>
  <si>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</si>
  <si>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</si>
  <si>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</si>
  <si>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</si>
  <si>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</si>
  <si>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</si>
  <si>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</si>
  <si>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</si>
  <si>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</si>
  <si>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</si>
  <si>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</si>
  <si>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</si>
  <si>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</si>
  <si>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</si>
  <si>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</si>
  <si>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</si>
  <si>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</si>
  <si>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</si>
  <si>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</si>
  <si>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</si>
  <si>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</si>
  <si>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</si>
  <si>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</si>
  <si>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</si>
  <si>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</si>
  <si>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</si>
  <si>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</si>
  <si>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</si>
  <si>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</si>
  <si>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</si>
  <si>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</si>
  <si>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</si>
  <si>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</si>
  <si>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</si>
  <si>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</si>
  <si>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</si>
  <si>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</si>
  <si>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</si>
  <si>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</si>
  <si>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</si>
  <si>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</si>
  <si>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</si>
  <si>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</si>
  <si>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</si>
  <si>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</si>
  <si>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</si>
  <si>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</si>
  <si>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</si>
  <si>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</si>
  <si>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</si>
  <si>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</si>
  <si>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</si>
  <si>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</si>
  <si>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</si>
  <si>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</si>
  <si>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</si>
  <si>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</si>
  <si>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</si>
  <si>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</si>
  <si>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</si>
  <si>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</si>
  <si>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</si>
  <si>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</si>
  <si>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</si>
  <si>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</si>
  <si>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</si>
  <si>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</si>
  <si>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</si>
  <si>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</si>
  <si>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</si>
  <si>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</si>
  <si>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</si>
  <si>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</si>
  <si>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</si>
  <si>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</si>
  <si>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</si>
  <si>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</si>
  <si>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</si>
  <si>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</si>
  <si>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</si>
  <si>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</si>
  <si>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</si>
  <si>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</si>
  <si>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</si>
  <si>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</si>
  <si>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</si>
  <si>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</si>
  <si>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</si>
  <si>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</si>
  <si>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</si>
  <si>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</si>
  <si>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</si>
  <si>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</si>
  <si>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</si>
  <si>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</si>
  <si>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</si>
  <si>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</si>
  <si>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</si>
  <si>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</si>
  <si>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</si>
  <si>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</si>
  <si>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</si>
  <si>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</si>
  <si>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</si>
  <si>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</si>
  <si>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</si>
  <si>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</si>
  <si>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</si>
  <si>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</si>
  <si>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</si>
  <si>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</si>
  <si>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</si>
  <si>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</si>
  <si>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</si>
  <si>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</si>
  <si>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</si>
  <si>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</si>
  <si>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</si>
  <si>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</si>
  <si>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</si>
  <si>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</si>
  <si>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</si>
  <si>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</si>
  <si>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</si>
  <si>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</si>
  <si>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</si>
  <si>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</si>
  <si>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</si>
  <si>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</si>
  <si>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</si>
  <si>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</si>
  <si>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</si>
  <si>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</si>
  <si>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</si>
  <si>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</si>
  <si>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</si>
  <si>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</si>
  <si>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</si>
  <si>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</si>
  <si>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</si>
  <si>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</si>
  <si>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</si>
  <si>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</si>
  <si>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</si>
  <si>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</si>
  <si>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</si>
  <si>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</si>
  <si>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</si>
  <si>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</si>
  <si>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</si>
  <si>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</si>
  <si>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</si>
  <si>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</si>
  <si>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</si>
  <si>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</si>
  <si>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</si>
  <si>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</si>
  <si>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</si>
  <si>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</si>
  <si>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</si>
  <si>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</si>
  <si>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</si>
  <si>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</si>
  <si>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</si>
  <si>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</si>
  <si>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</si>
  <si>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</si>
  <si>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</si>
  <si>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</si>
  <si>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</si>
  <si>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</si>
  <si>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</si>
  <si>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</si>
  <si>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</si>
  <si>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</si>
  <si>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</si>
  <si>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</si>
  <si>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</si>
  <si>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</si>
  <si>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</si>
  <si>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</si>
  <si>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</si>
  <si>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</si>
  <si>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</si>
  <si>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</si>
  <si>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</si>
  <si>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</si>
  <si>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</si>
  <si>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</si>
  <si>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</si>
  <si>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</si>
  <si>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</si>
  <si>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</si>
  <si>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</si>
  <si>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</si>
  <si>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</si>
  <si>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</si>
  <si>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</si>
  <si>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</si>
  <si>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</si>
  <si>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</si>
  <si>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</si>
  <si>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</si>
  <si>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</si>
  <si>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</si>
  <si>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</si>
  <si>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</si>
  <si>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</si>
  <si>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</si>
  <si>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</si>
  <si>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</si>
  <si>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</si>
  <si>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</si>
  <si>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</si>
  <si>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</si>
  <si>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</si>
  <si>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</si>
  <si>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</si>
  <si>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</si>
  <si>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</si>
  <si>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</si>
  <si>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</si>
  <si>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</si>
  <si>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</si>
  <si>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</si>
  <si>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</si>
  <si>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</si>
  <si>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</si>
  <si>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</si>
  <si>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</si>
  <si>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</si>
  <si>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</si>
  <si>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</si>
  <si>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</si>
  <si>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</si>
  <si>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</si>
  <si>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</si>
  <si>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</si>
  <si>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</si>
  <si>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</si>
  <si>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</si>
  <si>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</si>
  <si>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</si>
  <si>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</si>
  <si>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</si>
  <si>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</si>
  <si>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</si>
  <si>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</si>
  <si>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</si>
  <si>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</si>
  <si>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</si>
  <si>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</si>
  <si>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</si>
  <si>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</si>
  <si>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</si>
  <si>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</si>
  <si>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</si>
  <si>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</si>
  <si>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</si>
  <si>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</si>
  <si>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</si>
  <si>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</si>
  <si>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</si>
  <si>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</si>
  <si>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</si>
  <si>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</si>
  <si>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</si>
  <si>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</si>
  <si>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</si>
  <si>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</si>
  <si>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</si>
  <si>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</si>
  <si>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</si>
  <si>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</si>
  <si>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</si>
  <si>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</si>
  <si>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</si>
  <si>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</si>
  <si>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</si>
  <si>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</si>
  <si>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</si>
  <si>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</si>
  <si>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</si>
  <si>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</si>
  <si>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</si>
  <si>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</si>
  <si>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</si>
  <si>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</si>
  <si>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</si>
  <si>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</si>
  <si>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</si>
  <si>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</si>
  <si>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</si>
  <si>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</si>
  <si>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</si>
  <si>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</si>
  <si>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</si>
  <si>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</si>
  <si>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</si>
  <si>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</si>
  <si>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</si>
  <si>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</si>
  <si>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</si>
  <si>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</si>
  <si>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</si>
  <si>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</si>
  <si>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</si>
  <si>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</si>
  <si>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</si>
  <si>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</si>
  <si>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</si>
  <si>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</si>
  <si>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</si>
  <si>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</si>
  <si>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</si>
  <si>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</si>
  <si>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</si>
  <si>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</si>
  <si>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</si>
  <si>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</si>
  <si>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</si>
  <si>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</si>
  <si>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</si>
  <si>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</si>
  <si>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</si>
  <si>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</si>
  <si>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</si>
  <si>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</si>
  <si>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</si>
  <si>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</si>
  <si>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</si>
  <si>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</si>
  <si>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</si>
  <si>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</si>
  <si>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</si>
  <si>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</si>
  <si>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</si>
  <si>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</si>
  <si>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</si>
  <si>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</si>
  <si>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</si>
  <si>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</si>
  <si>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</si>
  <si>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</si>
  <si>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</si>
  <si>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</si>
  <si>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</si>
  <si>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</si>
  <si>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</si>
  <si>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</si>
  <si>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</si>
  <si>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</si>
  <si>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</si>
  <si>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</si>
  <si>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</si>
  <si>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</si>
  <si>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</si>
  <si>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</si>
  <si>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</si>
  <si>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</si>
  <si>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</si>
  <si>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</si>
  <si>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</si>
  <si>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</si>
  <si>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</si>
  <si>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</si>
  <si>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</si>
  <si>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</si>
  <si>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</si>
  <si>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</si>
  <si>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</si>
  <si>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</si>
  <si>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</si>
  <si>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</si>
  <si>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</si>
  <si>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</si>
  <si>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</si>
  <si>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</si>
  <si>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</si>
  <si>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</si>
  <si>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</si>
  <si>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</si>
  <si>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</si>
  <si>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</si>
  <si>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</si>
  <si>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</si>
  <si>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</si>
  <si>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</si>
  <si>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</si>
  <si>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</si>
  <si>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</si>
  <si>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</si>
  <si>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</si>
  <si>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</si>
  <si>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</si>
  <si>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</si>
  <si>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</si>
  <si>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</si>
  <si>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</si>
  <si>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</si>
  <si>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</si>
  <si>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</si>
  <si>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</si>
  <si>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</si>
  <si>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</si>
  <si>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</si>
  <si>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</si>
  <si>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</si>
  <si>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</si>
  <si>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</si>
  <si>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</si>
  <si>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</si>
  <si>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</si>
  <si>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</si>
  <si>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</si>
  <si>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</si>
  <si>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</si>
  <si>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</si>
  <si>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</si>
  <si>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</si>
  <si>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</si>
  <si>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</si>
  <si>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</si>
  <si>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</si>
  <si>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</si>
  <si>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</si>
  <si>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</si>
  <si>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</si>
  <si>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</si>
  <si>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</si>
  <si>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</si>
  <si>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</si>
  <si>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</si>
  <si>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</si>
  <si>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</si>
  <si>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</si>
  <si>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</si>
  <si>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</si>
  <si>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</si>
  <si>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</si>
  <si>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</si>
  <si>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</si>
  <si>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</si>
  <si>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</si>
  <si>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</si>
  <si>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</si>
  <si>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</si>
  <si>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</si>
  <si>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</si>
  <si>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</si>
  <si>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</si>
  <si>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</si>
  <si>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</si>
  <si>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</si>
  <si>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</si>
  <si>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</si>
  <si>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</si>
  <si>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</si>
  <si>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</si>
  <si>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</si>
  <si>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</si>
  <si>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</si>
  <si>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</si>
  <si>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</si>
  <si>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</si>
  <si>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</si>
  <si>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</si>
  <si>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</si>
  <si>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</si>
  <si>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</si>
  <si>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</si>
  <si>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</si>
  <si>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</si>
  <si>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</si>
  <si>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</si>
  <si>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</si>
  <si>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</si>
  <si>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</si>
  <si>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</si>
  <si>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</si>
  <si>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</si>
  <si>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</si>
  <si>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</si>
  <si>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</si>
  <si>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</si>
  <si>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</si>
  <si>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</si>
  <si>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</si>
  <si>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</si>
  <si>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</si>
  <si>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</si>
  <si>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</si>
  <si>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</si>
  <si>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</si>
  <si>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</si>
  <si>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</si>
  <si>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</si>
  <si>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</si>
  <si>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</si>
  <si>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</si>
  <si>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</si>
  <si>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</si>
  <si>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</si>
  <si>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</si>
  <si>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</si>
  <si>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</si>
  <si>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</si>
  <si>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</si>
  <si>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</si>
  <si>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</si>
  <si>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</si>
  <si>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</si>
  <si>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</si>
  <si>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</si>
  <si>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</si>
  <si>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</si>
  <si>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</si>
  <si>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</si>
  <si>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</si>
  <si>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</si>
  <si>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</si>
  <si>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</si>
  <si>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</si>
  <si>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</si>
  <si>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</si>
  <si>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</si>
  <si>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</si>
  <si>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</si>
  <si>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</si>
  <si>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</si>
  <si>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</si>
  <si>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</si>
  <si>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</si>
  <si>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</si>
  <si>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</si>
  <si>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</si>
  <si>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</si>
  <si>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</si>
  <si>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</si>
  <si>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</si>
  <si>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</si>
  <si>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</si>
  <si>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</si>
  <si>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</si>
  <si>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</si>
  <si>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</si>
  <si>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</si>
  <si>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</si>
  <si>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</si>
  <si>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</si>
  <si>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</si>
  <si>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</si>
  <si>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</si>
  <si>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</si>
  <si>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</si>
  <si>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</si>
  <si>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</si>
  <si>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</si>
  <si>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</si>
  <si>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</si>
  <si>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</si>
  <si>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</si>
  <si>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</si>
  <si>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</si>
  <si>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</si>
  <si>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</si>
  <si>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</si>
  <si>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</si>
  <si>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</si>
  <si>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</si>
  <si>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</si>
  <si>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</si>
  <si>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</si>
  <si>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</si>
  <si>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</si>
  <si>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</si>
  <si>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</si>
  <si>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</si>
  <si>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</si>
  <si>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</si>
  <si>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</si>
  <si>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</si>
  <si>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</si>
  <si>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</si>
  <si>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</si>
  <si>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</si>
  <si>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</si>
  <si>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</si>
  <si>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</si>
  <si>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</si>
  <si>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</si>
  <si>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</si>
  <si>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</si>
  <si>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</si>
  <si>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</si>
  <si>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</si>
  <si>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</si>
  <si>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</si>
  <si>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</si>
  <si>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</si>
  <si>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</si>
  <si>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</si>
  <si>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</si>
  <si>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</si>
  <si>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</si>
  <si>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</si>
  <si>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</si>
  <si>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</si>
  <si>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</si>
  <si>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</si>
  <si>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</si>
  <si>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</si>
  <si>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</si>
  <si>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</si>
  <si>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</si>
  <si>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</si>
  <si>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</si>
  <si>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</si>
  <si>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</si>
  <si>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</si>
  <si>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</si>
  <si>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</si>
  <si>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</si>
  <si>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</si>
  <si>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</si>
  <si>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</si>
  <si>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</si>
  <si>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</si>
  <si>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</si>
  <si>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</si>
  <si>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</si>
  <si>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</si>
  <si>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</si>
  <si>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</si>
  <si>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</si>
  <si>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</si>
  <si>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</si>
  <si>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</si>
  <si>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</si>
  <si>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</si>
  <si>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</si>
  <si>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</si>
  <si>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</si>
  <si>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</si>
  <si>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</si>
  <si>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</si>
  <si>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</si>
  <si>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</si>
  <si>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</si>
  <si>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</si>
  <si>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</si>
  <si>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</si>
  <si>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</si>
  <si>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</si>
  <si>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</si>
  <si>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</si>
  <si>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</si>
  <si>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</si>
  <si>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</si>
  <si>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</si>
  <si>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</si>
  <si>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</si>
  <si>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</si>
  <si>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</si>
  <si>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</si>
  <si>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</si>
  <si>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</si>
  <si>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</si>
  <si>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</si>
  <si>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</si>
  <si>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</si>
  <si>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</si>
  <si>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</si>
  <si>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</si>
  <si>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</si>
  <si>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</si>
  <si>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</si>
  <si>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</si>
  <si>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</si>
  <si>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</si>
  <si>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</si>
  <si>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</si>
  <si>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</si>
  <si>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</si>
  <si>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</si>
  <si>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</si>
  <si>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</si>
  <si>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</si>
  <si>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</si>
  <si>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</si>
  <si>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</si>
  <si>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</si>
  <si>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</si>
  <si>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</si>
  <si>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</si>
  <si>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</si>
  <si>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</si>
  <si>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</si>
  <si>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</si>
  <si>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</si>
  <si>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</si>
  <si>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</si>
  <si>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</si>
  <si>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</si>
  <si>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</si>
  <si>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</si>
  <si>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</si>
  <si>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</si>
  <si>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</si>
  <si>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</si>
  <si>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</si>
  <si>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</si>
  <si>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</si>
  <si>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</si>
  <si>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</si>
  <si>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</si>
  <si>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</si>
  <si>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</si>
  <si>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</si>
  <si>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</si>
  <si>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</si>
  <si>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</si>
  <si>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</si>
  <si>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</si>
  <si>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</si>
  <si>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</si>
  <si>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</si>
  <si>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</si>
  <si>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</si>
  <si>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</si>
  <si>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</si>
  <si>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</si>
  <si>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</si>
  <si>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</si>
  <si>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</si>
  <si>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</si>
  <si>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</si>
  <si>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</si>
  <si>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</si>
  <si>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</si>
  <si>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</si>
  <si>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</si>
  <si>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</si>
  <si>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</si>
  <si>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</si>
  <si>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</si>
  <si>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</si>
  <si>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</si>
  <si>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</si>
  <si>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</si>
  <si>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</si>
  <si>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</si>
  <si>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</si>
  <si>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</si>
  <si>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</si>
  <si>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</si>
  <si>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</si>
  <si>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</si>
  <si>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</si>
  <si>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</si>
  <si>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</si>
  <si>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</si>
  <si>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</si>
  <si>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</si>
  <si>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</si>
  <si>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</si>
  <si>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</si>
  <si>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</si>
  <si>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</si>
  <si>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</si>
  <si>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</si>
  <si>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</si>
  <si>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</si>
  <si>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</si>
  <si>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</si>
  <si>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</si>
  <si>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</si>
  <si>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</si>
  <si>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</si>
  <si>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</si>
  <si>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</si>
  <si>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</si>
  <si>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</si>
  <si>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</si>
  <si>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</si>
  <si>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</si>
  <si>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</si>
  <si>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</si>
  <si>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</si>
  <si>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</si>
  <si>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</si>
  <si>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</si>
  <si>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</si>
  <si>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</si>
  <si>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</si>
  <si>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</si>
  <si>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</si>
  <si>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</si>
  <si>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</si>
  <si>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</si>
  <si>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</si>
  <si>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</si>
  <si>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</si>
  <si>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</si>
  <si>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</si>
  <si>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</si>
  <si>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</si>
  <si>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</si>
  <si>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</si>
  <si>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</si>
  <si>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</si>
  <si>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</si>
  <si>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</si>
  <si>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</si>
  <si>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</si>
  <si>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</si>
  <si>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</si>
  <si>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</si>
  <si>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</si>
  <si>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</si>
  <si>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</si>
  <si>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</si>
  <si>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</si>
  <si>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</si>
  <si>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</si>
  <si>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</si>
  <si>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</si>
  <si>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</si>
  <si>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</si>
  <si>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</si>
  <si>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</si>
  <si>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</si>
  <si>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</si>
  <si>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</si>
  <si>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</si>
  <si>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</si>
  <si>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</si>
  <si>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</si>
  <si>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</si>
  <si>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</si>
  <si>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</si>
  <si>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</si>
  <si>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</si>
  <si>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</si>
  <si>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</si>
  <si>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</si>
  <si>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</si>
  <si>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</si>
  <si>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</si>
  <si>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</si>
  <si>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</si>
  <si>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</si>
  <si>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</si>
  <si>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</si>
  <si>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</si>
  <si>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</si>
  <si>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</si>
  <si>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</si>
  <si>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</si>
  <si>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</si>
  <si>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</si>
  <si>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</si>
  <si>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</si>
  <si>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</si>
  <si>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</si>
  <si>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</si>
  <si>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</si>
  <si>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</si>
  <si>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</si>
  <si>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</si>
  <si>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</si>
  <si>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</si>
  <si>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</si>
  <si>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</si>
  <si>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</si>
  <si>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</si>
  <si>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</si>
  <si>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</si>
  <si>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</si>
  <si>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</si>
  <si>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</si>
  <si>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</si>
  <si>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</si>
  <si>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</si>
  <si>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</si>
  <si>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</si>
  <si>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</si>
  <si>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</si>
  <si>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</si>
  <si>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</si>
  <si>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</si>
  <si>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</si>
  <si>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</si>
  <si>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</si>
  <si>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</si>
  <si>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</si>
  <si>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</si>
  <si>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</si>
  <si>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</si>
  <si>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</si>
  <si>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</si>
  <si>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</si>
  <si>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</si>
  <si>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</si>
  <si>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</si>
  <si>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</si>
  <si>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</si>
  <si>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</si>
  <si>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</si>
  <si>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</si>
  <si>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</si>
  <si>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</si>
  <si>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</si>
  <si>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</si>
  <si>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</si>
  <si>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</si>
  <si>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</si>
  <si>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</si>
  <si>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</si>
  <si>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</si>
  <si>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</si>
  <si>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</si>
  <si>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</si>
  <si>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</si>
  <si>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</si>
  <si>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</si>
  <si>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</si>
  <si>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</si>
  <si>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</si>
  <si>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</si>
  <si>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</si>
  <si>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</si>
  <si>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</si>
  <si>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</si>
  <si>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</si>
  <si>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</si>
  <si>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</si>
  <si>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</si>
  <si>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</si>
  <si>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</si>
  <si>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</si>
  <si>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</si>
  <si>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</si>
  <si>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</si>
  <si>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</si>
  <si>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</si>
  <si>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</si>
  <si>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</si>
  <si>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</si>
  <si>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</si>
  <si>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</si>
  <si>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</si>
  <si>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</si>
  <si>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</si>
  <si>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</si>
  <si>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</si>
  <si>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</si>
  <si>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</si>
  <si>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</si>
  <si>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</si>
  <si>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</si>
  <si>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</si>
  <si>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</si>
  <si>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</si>
  <si>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</si>
  <si>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</si>
  <si>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</si>
  <si>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</si>
  <si>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</si>
  <si>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</si>
  <si>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</si>
  <si>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</si>
  <si>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</si>
  <si>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</si>
  <si>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</si>
  <si>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</si>
  <si>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</si>
  <si>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</si>
  <si>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</si>
  <si>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</si>
  <si>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</si>
  <si>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</si>
  <si>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</si>
  <si>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</si>
  <si>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</si>
  <si>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</si>
  <si>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</si>
  <si>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</si>
  <si>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</si>
  <si>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</si>
  <si>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</si>
  <si>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</si>
  <si>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</si>
  <si>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</si>
  <si>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</si>
  <si>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</si>
  <si>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</si>
  <si>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</si>
  <si>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</si>
  <si>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</si>
  <si>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</si>
  <si>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</si>
  <si>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</si>
  <si>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</si>
  <si>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</si>
  <si>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</si>
  <si>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</si>
  <si>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</si>
  <si>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</si>
  <si>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</si>
  <si>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</si>
  <si>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</si>
  <si>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</si>
  <si>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</si>
  <si>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</si>
  <si>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</si>
  <si>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</si>
  <si>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</si>
  <si>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</si>
  <si>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</si>
  <si>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</si>
  <si>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</si>
  <si>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</si>
  <si>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</si>
  <si>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</si>
  <si>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</si>
  <si>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</si>
  <si>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</si>
  <si>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</si>
  <si>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</si>
  <si>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</si>
  <si>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</si>
  <si>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</si>
  <si>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</si>
  <si>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</si>
  <si>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</si>
  <si>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</si>
  <si>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</si>
  <si>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</si>
  <si>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</si>
  <si>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</si>
  <si>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</si>
  <si>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</si>
  <si>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</si>
  <si>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</si>
  <si>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</si>
  <si>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</si>
  <si>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</si>
  <si>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</si>
  <si>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</si>
  <si>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</si>
  <si>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</si>
  <si>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</si>
  <si>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</si>
  <si>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</si>
  <si>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</si>
  <si>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</si>
  <si>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</si>
  <si>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</si>
  <si>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</si>
  <si>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</si>
  <si>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</si>
  <si>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</si>
  <si>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</si>
  <si>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</si>
  <si>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</si>
  <si>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</si>
  <si>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</si>
  <si>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</si>
  <si>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</si>
  <si>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</si>
  <si>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</si>
  <si>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</si>
  <si>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</si>
  <si>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</si>
  <si>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</si>
  <si>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</si>
  <si>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</si>
  <si>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</si>
  <si>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</si>
  <si>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</si>
  <si>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</si>
  <si>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</si>
  <si>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</si>
  <si>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</si>
  <si>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</si>
  <si>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</si>
  <si>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</si>
  <si>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</si>
  <si>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</si>
  <si>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</si>
  <si>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</si>
  <si>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</si>
  <si>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</si>
  <si>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</si>
  <si>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</si>
  <si>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</si>
  <si>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</si>
  <si>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</si>
  <si>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</si>
  <si>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</si>
  <si>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</si>
  <si>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</si>
  <si>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</si>
  <si>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</si>
  <si>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</si>
  <si>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</si>
  <si>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</si>
  <si>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</si>
  <si>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</si>
  <si>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</si>
  <si>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</si>
  <si>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</si>
  <si>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</si>
  <si>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</si>
  <si>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</si>
  <si>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</si>
  <si>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</si>
  <si>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</si>
  <si>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</si>
  <si>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</si>
  <si>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</si>
  <si>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</si>
  <si>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</si>
  <si>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</si>
  <si>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</si>
  <si>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</si>
  <si>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</si>
  <si>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</si>
  <si>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</si>
  <si>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</si>
  <si>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</si>
  <si>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</si>
  <si>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</si>
  <si>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</si>
  <si>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</si>
  <si>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</si>
  <si>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</si>
  <si>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</si>
  <si>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</si>
  <si>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</si>
  <si>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</si>
  <si>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</si>
  <si>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</si>
  <si>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</si>
  <si>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</si>
  <si>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</si>
  <si>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</si>
  <si>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</si>
  <si>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</si>
  <si>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</si>
  <si>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</si>
  <si>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</si>
  <si>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</si>
  <si>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</si>
  <si>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</si>
  <si>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</si>
  <si>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</si>
  <si>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</si>
  <si>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</si>
  <si>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</si>
  <si>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</si>
  <si>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</si>
  <si>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</si>
  <si>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</si>
  <si>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</si>
  <si>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</si>
  <si>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</si>
  <si>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</si>
  <si>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</si>
  <si>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</si>
  <si>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</si>
  <si>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</si>
  <si>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</si>
  <si>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</si>
  <si>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</si>
  <si>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</si>
  <si>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</si>
  <si>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</si>
  <si>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</si>
  <si>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</si>
  <si>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</si>
  <si>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</si>
  <si>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</si>
  <si>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</si>
  <si>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</si>
  <si>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</si>
  <si>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</si>
  <si>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</si>
  <si>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</si>
  <si>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</si>
  <si>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</si>
  <si>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</si>
  <si>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</si>
  <si>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</si>
  <si>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</si>
  <si>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</si>
  <si>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</si>
  <si>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</si>
  <si>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</si>
  <si>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</si>
  <si>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</si>
  <si>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</si>
  <si>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</si>
  <si>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</si>
  <si>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</si>
  <si>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</si>
  <si>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</si>
  <si>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</si>
  <si>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</si>
  <si>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</si>
  <si>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</si>
  <si>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</si>
  <si>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</si>
  <si>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</si>
  <si>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</si>
  <si>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</si>
  <si>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</si>
  <si>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</si>
  <si>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</si>
  <si>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</si>
  <si>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</si>
  <si>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</si>
  <si>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</si>
  <si>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</si>
  <si>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</si>
  <si>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</si>
  <si>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</si>
  <si>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</si>
  <si>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</si>
  <si>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</si>
  <si>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</si>
  <si>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</si>
  <si>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</si>
  <si>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</si>
  <si>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</si>
  <si>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</si>
  <si>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</si>
  <si>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</si>
  <si>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</si>
  <si>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</si>
  <si>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</si>
  <si>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</si>
  <si>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</si>
  <si>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</si>
  <si>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</si>
  <si>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</si>
  <si>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</si>
  <si>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</si>
  <si>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</si>
  <si>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</si>
  <si>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</si>
  <si>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</si>
  <si>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</si>
  <si>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</si>
  <si>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</si>
  <si>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</si>
  <si>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</si>
  <si>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</si>
  <si>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</si>
  <si>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</si>
  <si>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</si>
  <si>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</si>
  <si>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</si>
  <si>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</si>
  <si>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</si>
  <si>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</si>
  <si>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</si>
  <si>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</si>
  <si>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</si>
  <si>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</si>
  <si>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</si>
  <si>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</si>
  <si>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</si>
  <si>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</si>
  <si>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</si>
  <si>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</si>
  <si>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</si>
  <si>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</si>
  <si>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</si>
  <si>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</si>
  <si>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</si>
  <si>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</si>
  <si>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</si>
  <si>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</si>
  <si>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</si>
  <si>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</si>
  <si>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</si>
  <si>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</si>
  <si>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</si>
  <si>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</si>
  <si>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</si>
  <si>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</si>
  <si>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</si>
  <si>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</si>
  <si>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</si>
  <si>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</si>
  <si>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</si>
  <si>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</si>
  <si>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</si>
  <si>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</si>
  <si>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</si>
  <si>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</si>
  <si>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</si>
  <si>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</si>
  <si>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</si>
  <si>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</si>
  <si>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</si>
  <si>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</si>
  <si>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</si>
  <si>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</si>
  <si>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</si>
  <si>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</si>
  <si>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</si>
  <si>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</si>
  <si>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</si>
  <si>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</si>
  <si>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</si>
  <si>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</si>
  <si>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</si>
  <si>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</si>
  <si>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</si>
  <si>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</si>
  <si>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</si>
  <si>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</si>
  <si>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</si>
  <si>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</si>
  <si>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</si>
  <si>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</si>
  <si>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</si>
  <si>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</si>
  <si>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</si>
  <si>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</si>
  <si>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</si>
  <si>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</si>
  <si>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</si>
  <si>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</si>
  <si>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</si>
  <si>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</si>
  <si>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</si>
  <si>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</si>
  <si>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</si>
  <si>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</si>
  <si>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</si>
  <si>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</si>
  <si>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</si>
  <si>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</si>
  <si>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</si>
  <si>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</si>
  <si>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</si>
  <si>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</si>
  <si>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</si>
  <si>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</si>
  <si>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</si>
  <si>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</si>
  <si>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</si>
  <si>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</si>
  <si>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</si>
  <si>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</si>
  <si>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</si>
  <si>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</si>
  <si>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</si>
  <si>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</si>
  <si>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</si>
  <si>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</si>
  <si>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</si>
  <si>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</si>
  <si>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</si>
  <si>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</si>
  <si>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</si>
  <si>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</si>
  <si>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</si>
  <si>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</si>
  <si>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</si>
  <si>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</si>
  <si>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</si>
  <si>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</si>
  <si>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</si>
  <si>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</si>
  <si>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</si>
  <si>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</si>
  <si>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</si>
  <si>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</si>
  <si>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</si>
  <si>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</si>
  <si>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</si>
  <si>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</si>
  <si>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</si>
  <si>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</si>
  <si>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</si>
  <si>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</si>
  <si>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</si>
  <si>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</si>
  <si>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</si>
  <si>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</si>
  <si>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</si>
  <si>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</si>
  <si>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</si>
  <si>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</si>
  <si>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</si>
  <si>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</si>
  <si>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</si>
  <si>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</si>
  <si>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</si>
  <si>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</si>
  <si>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</si>
  <si>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</si>
  <si>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</si>
  <si>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</si>
  <si>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</si>
  <si>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</si>
  <si>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</si>
  <si>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</si>
  <si>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</si>
  <si>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</si>
  <si>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</si>
  <si>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</si>
  <si>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</si>
  <si>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</si>
  <si>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</si>
  <si>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</si>
  <si>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</si>
  <si>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</si>
  <si>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</si>
  <si>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</si>
  <si>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</si>
  <si>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</si>
  <si>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</si>
  <si>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</si>
  <si>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</si>
  <si>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</si>
  <si>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</si>
  <si>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</si>
  <si>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</si>
  <si>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</si>
  <si>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</si>
  <si>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</si>
  <si>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</si>
  <si>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</si>
  <si>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</si>
  <si>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</si>
  <si>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</si>
  <si>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</si>
  <si>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</si>
  <si>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</si>
  <si>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</si>
  <si>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</si>
  <si>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</si>
  <si>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</si>
  <si>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</si>
  <si>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</si>
  <si>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</si>
  <si>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</si>
  <si>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</si>
  <si>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</si>
  <si>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</si>
  <si>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</si>
  <si>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</si>
  <si>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</si>
  <si>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</si>
  <si>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</si>
  <si>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</si>
  <si>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</si>
  <si>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</si>
  <si>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</si>
  <si>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</si>
  <si>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</si>
  <si>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</si>
  <si>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</si>
  <si>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</si>
  <si>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</si>
  <si>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</si>
  <si>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</si>
  <si>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</si>
  <si>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</si>
  <si>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</si>
  <si>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</si>
  <si>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</si>
  <si>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</si>
  <si>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</si>
  <si>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</si>
  <si>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</si>
  <si>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</si>
  <si>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</si>
  <si>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</si>
  <si>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</si>
  <si>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</si>
  <si>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</si>
  <si>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</si>
  <si>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</si>
  <si>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</si>
  <si>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</si>
  <si>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</si>
  <si>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</si>
  <si>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</si>
  <si>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</si>
  <si>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</si>
  <si>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</si>
  <si>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</si>
  <si>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</si>
  <si>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</si>
  <si>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</si>
  <si>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</si>
  <si>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</si>
  <si>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</si>
  <si>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</si>
  <si>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</si>
  <si>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</si>
  <si>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</si>
  <si>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</si>
  <si>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</si>
  <si>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</si>
  <si>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</si>
  <si>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</si>
  <si>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</si>
  <si>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</si>
  <si>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</si>
  <si>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</si>
  <si>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</si>
  <si>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</si>
  <si>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</si>
  <si>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</si>
  <si>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</si>
  <si>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</si>
  <si>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</si>
  <si>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</si>
  <si>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</si>
  <si>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</si>
  <si>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</si>
  <si>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</si>
  <si>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</si>
  <si>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</si>
  <si>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</si>
  <si>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</si>
  <si>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</si>
  <si>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</si>
  <si>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</si>
  <si>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</si>
  <si>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</si>
  <si>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</si>
  <si>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</si>
  <si>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</si>
  <si>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</si>
  <si>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</si>
  <si>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</si>
  <si>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</si>
  <si>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</si>
  <si>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</si>
  <si>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</si>
  <si>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</si>
  <si>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</si>
  <si>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</si>
  <si>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</si>
  <si>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</si>
  <si>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</si>
  <si>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</si>
  <si>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</si>
  <si>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</si>
  <si>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</si>
  <si>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</si>
  <si>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</si>
  <si>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</si>
  <si>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</si>
  <si>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</si>
  <si>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</si>
  <si>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</si>
  <si>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</si>
  <si>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</si>
  <si>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</si>
  <si>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</si>
  <si>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</si>
  <si>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</si>
  <si>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</si>
  <si>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</si>
  <si>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</si>
  <si>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</si>
  <si>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</si>
  <si>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</si>
  <si>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</si>
  <si>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</si>
  <si>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</si>
  <si>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</si>
  <si>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</si>
  <si>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</si>
  <si>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</si>
  <si>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</si>
  <si>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</si>
  <si>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</si>
  <si>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</si>
  <si>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</si>
  <si>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</si>
  <si>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</si>
  <si>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</si>
  <si>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</si>
  <si>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</si>
  <si>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</si>
  <si>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</si>
  <si>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</si>
  <si>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</si>
  <si>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</si>
  <si>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</si>
  <si>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</si>
  <si>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</si>
  <si>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</si>
  <si>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</si>
  <si>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</si>
  <si>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</si>
  <si>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</si>
  <si>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</si>
  <si>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</si>
  <si>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</si>
  <si>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</si>
  <si>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</si>
  <si>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</si>
  <si>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</si>
  <si>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</si>
  <si>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</si>
  <si>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</si>
  <si>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</si>
  <si>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</si>
  <si>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</si>
  <si>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</si>
  <si>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</si>
  <si>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</si>
  <si>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</si>
  <si>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</si>
  <si>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</si>
  <si>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</si>
  <si>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</si>
  <si>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</si>
  <si>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</si>
  <si>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</si>
  <si>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</si>
  <si>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</si>
  <si>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</si>
  <si>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</si>
  <si>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</si>
  <si>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</si>
  <si>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</si>
  <si>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</si>
  <si>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</si>
  <si>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</si>
  <si>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</si>
  <si>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</si>
  <si>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</si>
  <si>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</si>
  <si>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</si>
  <si>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</si>
  <si>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</si>
  <si>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</si>
  <si>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</si>
  <si>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</si>
  <si>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</si>
  <si>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</si>
  <si>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</si>
  <si>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</si>
  <si>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</si>
  <si>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</si>
  <si>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</si>
  <si>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</si>
  <si>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</si>
  <si>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</si>
  <si>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</si>
  <si>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</si>
  <si>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</si>
  <si>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</si>
  <si>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</si>
  <si>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</si>
  <si>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</si>
  <si>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</si>
  <si>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</si>
  <si>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</si>
  <si>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</si>
  <si>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</si>
  <si>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</si>
  <si>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</si>
  <si>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</si>
  <si>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</si>
  <si>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</si>
  <si>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</si>
  <si>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</si>
  <si>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</si>
  <si>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</si>
  <si>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</si>
  <si>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</si>
  <si>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</si>
  <si>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</si>
  <si>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</si>
  <si>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</si>
  <si>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</si>
  <si>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</si>
  <si>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</si>
  <si>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</si>
  <si>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</si>
  <si>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</si>
  <si>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</si>
  <si>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</si>
  <si>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</si>
  <si>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</si>
  <si>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</si>
  <si>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</si>
  <si>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</si>
  <si>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</si>
  <si>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</si>
  <si>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</si>
  <si>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</si>
  <si>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</si>
  <si>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</si>
  <si>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</si>
  <si>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</si>
  <si>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</si>
  <si>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</si>
  <si>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</si>
  <si>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</si>
  <si>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</si>
  <si>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</si>
  <si>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</si>
  <si>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</si>
  <si>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</si>
  <si>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</si>
  <si>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</si>
  <si>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</si>
  <si>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</si>
  <si>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</si>
  <si>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</si>
  <si>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</si>
  <si>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</si>
  <si>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</si>
  <si>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</si>
  <si>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</si>
  <si>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</si>
  <si>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</si>
  <si>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</si>
  <si>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</si>
  <si>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</si>
  <si>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</si>
  <si>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</si>
  <si>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</si>
  <si>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</si>
  <si>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</si>
  <si>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</si>
  <si>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</si>
  <si>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</si>
  <si>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</si>
  <si>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</si>
  <si>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</si>
  <si>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</si>
  <si>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</si>
  <si>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</si>
  <si>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</si>
  <si>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</si>
  <si>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</si>
  <si>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</si>
  <si>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</si>
  <si>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</si>
  <si>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</si>
  <si>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</si>
  <si>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</si>
  <si>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</si>
  <si>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</si>
  <si>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</si>
  <si>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</si>
  <si>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</si>
  <si>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</si>
  <si>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</si>
  <si>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</si>
  <si>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</si>
  <si>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</si>
  <si>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</si>
  <si>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</si>
  <si>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</si>
  <si>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</si>
  <si>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</si>
  <si>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</si>
  <si>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</si>
  <si>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</si>
  <si>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</si>
  <si>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</si>
  <si>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</si>
  <si>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</si>
  <si>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</si>
  <si>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</si>
  <si>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</si>
  <si>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</si>
  <si>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</si>
  <si>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</si>
  <si>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</si>
  <si>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</si>
  <si>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</si>
  <si>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</si>
  <si>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</si>
  <si>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</si>
  <si>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</si>
  <si>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</si>
  <si>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</si>
  <si>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</si>
  <si>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</si>
  <si>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</si>
  <si>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</si>
  <si>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</si>
  <si>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</si>
  <si>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</si>
  <si>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</si>
  <si>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</si>
  <si>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</si>
  <si>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</si>
  <si>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</si>
  <si>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</si>
  <si>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</si>
  <si>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</si>
  <si>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</si>
  <si>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</si>
  <si>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</si>
  <si>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</si>
  <si>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</si>
  <si>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</si>
  <si>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</si>
  <si>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</si>
  <si>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</si>
  <si>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</si>
  <si>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</si>
  <si>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</si>
  <si>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</si>
  <si>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</si>
  <si>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</si>
  <si>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</si>
  <si>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</si>
  <si>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</si>
  <si>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</si>
  <si>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</si>
  <si>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</si>
  <si>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</si>
  <si>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</si>
  <si>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</si>
  <si>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</si>
  <si>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</si>
  <si>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</si>
  <si>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</si>
  <si>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</si>
  <si>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</si>
  <si>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</si>
  <si>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</si>
  <si>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</si>
  <si>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</si>
  <si>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</si>
  <si>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</si>
  <si>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</si>
  <si>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</si>
  <si>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</si>
  <si>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</si>
  <si>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</si>
  <si>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</si>
  <si>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</si>
  <si>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</si>
  <si>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</si>
  <si>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</si>
  <si>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</si>
  <si>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</si>
  <si>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</si>
  <si>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</si>
  <si>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</si>
  <si>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</si>
  <si>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</si>
  <si>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</si>
  <si>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</si>
  <si>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</si>
  <si>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</si>
  <si>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</si>
  <si>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</si>
  <si>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</si>
  <si>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</si>
  <si>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</si>
  <si>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</si>
  <si>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</si>
  <si>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</si>
  <si>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</si>
  <si>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</si>
  <si>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</si>
  <si>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</si>
  <si>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</si>
  <si>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</si>
  <si>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</si>
  <si>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</si>
  <si>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</si>
  <si>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</si>
  <si>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</si>
  <si>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</si>
  <si>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</si>
  <si>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</si>
  <si>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</si>
  <si>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</si>
  <si>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</si>
  <si>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</si>
  <si>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</si>
  <si>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</si>
  <si>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</si>
  <si>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</si>
  <si>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</si>
  <si>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</si>
  <si>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</si>
  <si>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</si>
  <si>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</si>
  <si>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</si>
  <si>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</si>
  <si>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</si>
  <si>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</si>
  <si>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</si>
  <si>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</si>
  <si>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</si>
  <si>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</si>
  <si>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</si>
  <si>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</si>
  <si>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</si>
  <si>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</si>
  <si>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</si>
  <si>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</si>
  <si>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</si>
  <si>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</si>
  <si>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</si>
  <si>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</si>
  <si>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</si>
  <si>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</si>
  <si>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</si>
  <si>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</si>
  <si>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</si>
  <si>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</si>
  <si>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</si>
  <si>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</si>
  <si>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</si>
  <si>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</si>
  <si>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</si>
  <si>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</si>
  <si>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</si>
  <si>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</si>
  <si>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</si>
  <si>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</si>
  <si>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</si>
  <si>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</si>
  <si>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</si>
  <si>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</si>
  <si>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</si>
  <si>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</si>
  <si>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</si>
  <si>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</si>
  <si>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</si>
  <si>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</si>
  <si>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</si>
  <si>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</si>
  <si>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</si>
  <si>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</si>
  <si>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</si>
  <si>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</si>
  <si>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</si>
  <si>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</si>
  <si>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</si>
  <si>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</si>
  <si>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</si>
  <si>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</si>
  <si>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</si>
  <si>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</si>
  <si>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</si>
  <si>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</si>
  <si>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</si>
  <si>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</si>
  <si>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</si>
  <si>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</si>
  <si>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</si>
  <si>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</si>
  <si>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</si>
  <si>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</si>
  <si>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</si>
  <si>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</si>
  <si>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</si>
  <si>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</si>
  <si>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</si>
  <si>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</si>
  <si>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</si>
  <si>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</si>
  <si>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</si>
  <si>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</si>
  <si>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</si>
  <si>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</si>
  <si>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</si>
  <si>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</si>
  <si>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</si>
  <si>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</si>
  <si>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</si>
  <si>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</si>
  <si>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</si>
  <si>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</si>
  <si>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</si>
  <si>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</si>
  <si>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</si>
  <si>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</si>
  <si>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</si>
  <si>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</si>
  <si>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</si>
  <si>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</si>
  <si>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</si>
  <si>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</si>
  <si>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</si>
  <si>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</si>
  <si>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</si>
  <si>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</si>
  <si>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</si>
  <si>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</si>
  <si>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</si>
  <si>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</si>
  <si>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</si>
  <si>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</si>
  <si>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</si>
  <si>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</si>
  <si>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</si>
  <si>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</si>
  <si>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</si>
  <si>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</si>
  <si>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</si>
  <si>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</si>
  <si>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</si>
  <si>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</si>
  <si>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</si>
  <si>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</si>
  <si>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</si>
  <si>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</si>
  <si>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</si>
  <si>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</si>
  <si>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</si>
  <si>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</si>
  <si>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</si>
  <si>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</si>
  <si>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</si>
  <si>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</si>
  <si>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</si>
  <si>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</si>
  <si>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</si>
  <si>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</si>
  <si>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</si>
  <si>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</si>
  <si>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</si>
  <si>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</si>
  <si>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</si>
  <si>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</si>
  <si>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</si>
  <si>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</si>
  <si>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</si>
  <si>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</si>
  <si>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</si>
  <si>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</si>
  <si>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</si>
  <si>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</si>
  <si>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</si>
  <si>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</si>
  <si>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</si>
  <si>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</si>
  <si>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</si>
  <si>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</si>
  <si>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</si>
  <si>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</si>
  <si>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</si>
  <si>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</si>
  <si>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</si>
  <si>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</si>
  <si>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</si>
  <si>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</si>
  <si>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</si>
  <si>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</si>
  <si>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</si>
  <si>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</si>
  <si>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</si>
  <si>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</si>
  <si>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</si>
  <si>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</si>
  <si>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</si>
  <si>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</si>
  <si>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</si>
  <si>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</si>
  <si>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</si>
  <si>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</si>
  <si>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</si>
  <si>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</si>
  <si>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</si>
  <si>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</si>
  <si>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</si>
  <si>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</si>
  <si>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</si>
  <si>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</si>
  <si>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</si>
  <si>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</si>
  <si>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</si>
  <si>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</si>
  <si>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</si>
  <si>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</si>
  <si>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</si>
  <si>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</si>
  <si>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</si>
  <si>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</si>
  <si>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</si>
  <si>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</si>
  <si>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</si>
  <si>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</si>
  <si>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</si>
  <si>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</si>
  <si>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</si>
  <si>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</si>
  <si>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</si>
  <si>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</si>
  <si>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</si>
  <si>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</si>
  <si>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</si>
  <si>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</si>
  <si>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</si>
  <si>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</si>
  <si>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</si>
  <si>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</si>
  <si>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</si>
  <si>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</si>
  <si>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</si>
  <si>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</si>
  <si>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</si>
  <si>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</si>
  <si>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</si>
  <si>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</si>
  <si>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</si>
  <si>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</si>
  <si>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</si>
  <si>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</si>
  <si>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</si>
  <si>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</si>
  <si>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</si>
  <si>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</si>
  <si>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</si>
  <si>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</si>
  <si>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</si>
  <si>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</si>
  <si>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</si>
  <si>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</si>
  <si>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</si>
  <si>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</si>
  <si>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</si>
  <si>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</si>
  <si>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</si>
  <si>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</si>
  <si>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</si>
  <si>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</si>
  <si>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</si>
  <si>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</si>
  <si>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</si>
  <si>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</si>
  <si>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</si>
  <si>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</si>
  <si>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</si>
  <si>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</si>
  <si>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</si>
  <si>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</si>
  <si>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</si>
  <si>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</si>
  <si>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</si>
  <si>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</si>
  <si>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</si>
  <si>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</si>
  <si>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</si>
  <si>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</si>
  <si>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</si>
  <si>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</si>
  <si>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</si>
  <si>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</si>
  <si>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</si>
  <si>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</si>
  <si>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</si>
  <si>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</si>
  <si>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</si>
  <si>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</si>
  <si>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</si>
  <si>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</si>
  <si>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</si>
  <si>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</si>
  <si>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</si>
  <si>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</si>
  <si>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</si>
  <si>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</si>
  <si>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</si>
  <si>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</si>
  <si>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</si>
  <si>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</si>
  <si>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</si>
  <si>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</si>
  <si>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</si>
  <si>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</si>
  <si>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</si>
  <si>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</si>
  <si>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</si>
  <si>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</si>
  <si>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</si>
  <si>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</si>
  <si>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</si>
  <si>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</si>
  <si>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</si>
  <si>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</si>
  <si>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</si>
  <si>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</si>
  <si>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</si>
  <si>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</si>
  <si>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</si>
  <si>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</si>
  <si>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</si>
  <si>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</si>
  <si>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</si>
  <si>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</si>
  <si>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</si>
  <si>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</si>
  <si>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</si>
  <si>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</si>
  <si>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</si>
  <si>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</si>
  <si>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</si>
  <si>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</si>
  <si>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</si>
  <si>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</si>
  <si>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</si>
  <si>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</si>
  <si>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</si>
  <si>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</si>
  <si>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</si>
  <si>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</si>
  <si>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</si>
  <si>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</si>
  <si>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</si>
  <si>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</si>
  <si>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</si>
  <si>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</si>
  <si>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</si>
  <si>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</si>
  <si>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</si>
  <si>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</si>
  <si>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</si>
  <si>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</si>
  <si>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</si>
  <si>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</si>
  <si>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</si>
  <si>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</si>
  <si>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</si>
  <si>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</si>
  <si>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</si>
  <si>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</si>
  <si>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</si>
  <si>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</si>
  <si>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</si>
  <si>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</si>
  <si>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</si>
  <si>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</si>
  <si>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</si>
  <si>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</si>
  <si>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</si>
  <si>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</si>
  <si>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</si>
  <si>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</si>
  <si>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</si>
  <si>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</si>
  <si>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</si>
  <si>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</si>
  <si>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</si>
  <si>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</si>
  <si>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</si>
  <si>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</si>
  <si>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</si>
  <si>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</si>
  <si>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</si>
  <si>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</si>
  <si>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</si>
  <si>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</si>
  <si>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</si>
  <si>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</si>
  <si>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</si>
  <si>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</si>
  <si>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</si>
  <si>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</si>
  <si>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</si>
  <si>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</si>
  <si>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</si>
  <si>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</si>
  <si>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</si>
  <si>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</si>
  <si>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</si>
  <si>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</si>
  <si>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</si>
  <si>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</si>
  <si>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</si>
  <si>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</si>
  <si>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</si>
  <si>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</si>
  <si>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</si>
  <si>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</si>
  <si>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</si>
  <si>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</si>
  <si>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</si>
  <si>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</si>
  <si>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</si>
  <si>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</si>
  <si>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</si>
  <si>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</si>
  <si>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</si>
  <si>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</si>
  <si>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</si>
  <si>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</si>
  <si>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</si>
  <si>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</si>
  <si>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</si>
  <si>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</si>
  <si>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</si>
  <si>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</si>
  <si>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</si>
  <si>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</si>
  <si>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</si>
  <si>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</si>
  <si>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</si>
  <si>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</si>
  <si>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</si>
  <si>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</si>
  <si>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</si>
  <si>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</si>
  <si>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</si>
  <si>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</si>
  <si>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</si>
  <si>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</si>
  <si>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</si>
  <si>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</si>
  <si>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</si>
  <si>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</si>
  <si>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</si>
  <si>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</si>
  <si>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</si>
  <si>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</si>
  <si>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</si>
  <si>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</si>
  <si>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</si>
  <si>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</si>
  <si>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</si>
  <si>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</si>
  <si>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</si>
  <si>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</si>
  <si>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</si>
  <si>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</si>
  <si>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</si>
  <si>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</si>
  <si>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</si>
  <si>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</si>
  <si>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</si>
  <si>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</si>
  <si>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</si>
  <si>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</si>
  <si>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</si>
  <si>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</si>
  <si>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</si>
  <si>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</si>
  <si>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</si>
  <si>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</si>
  <si>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</si>
  <si>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</si>
  <si>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</si>
  <si>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</si>
  <si>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</si>
  <si>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</si>
  <si>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</si>
  <si>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</si>
  <si>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</si>
  <si>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</si>
  <si>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</si>
  <si>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</si>
  <si>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</si>
  <si>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</si>
  <si>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</si>
  <si>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</si>
  <si>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</si>
  <si>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</si>
  <si>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</si>
  <si>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</si>
  <si>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</si>
  <si>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</si>
  <si>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</si>
  <si>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</si>
  <si>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</si>
  <si>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</si>
  <si>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</si>
  <si>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</si>
  <si>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</si>
  <si>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</si>
  <si>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</si>
  <si>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</si>
  <si>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</si>
  <si>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</si>
  <si>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</si>
  <si>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</si>
  <si>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</si>
  <si>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</si>
  <si>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</si>
  <si>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</si>
  <si>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</si>
  <si>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</si>
  <si>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</si>
  <si>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</si>
  <si>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</si>
  <si>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</si>
  <si>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</si>
  <si>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</si>
  <si>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</si>
  <si>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</si>
  <si>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</si>
  <si>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</si>
  <si>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</si>
  <si>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</si>
  <si>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</si>
  <si>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</si>
  <si>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</si>
  <si>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</si>
  <si>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</si>
  <si>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</si>
  <si>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</si>
  <si>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</si>
  <si>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</si>
  <si>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</si>
  <si>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</si>
  <si>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</si>
  <si>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</si>
  <si>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</si>
  <si>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</si>
  <si>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</si>
  <si>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</si>
  <si>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</si>
  <si>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</si>
  <si>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</si>
  <si>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</si>
  <si>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</si>
  <si>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</si>
  <si>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</si>
  <si>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</si>
  <si>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</si>
  <si>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</si>
  <si>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</si>
  <si>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</si>
  <si>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</si>
  <si>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</si>
  <si>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</si>
  <si>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</si>
  <si>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</si>
  <si>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</si>
  <si>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</si>
  <si>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</si>
  <si>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</si>
  <si>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</si>
  <si>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</si>
  <si>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</si>
  <si>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</si>
  <si>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</si>
  <si>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</si>
  <si>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</si>
  <si>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</si>
  <si>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</si>
  <si>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</si>
  <si>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</si>
  <si>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</si>
  <si>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</si>
  <si>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</si>
  <si>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</si>
  <si>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</si>
  <si>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</si>
  <si>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</si>
  <si>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</si>
  <si>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</si>
  <si>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</si>
  <si>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</si>
  <si>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</si>
  <si>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</si>
  <si>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</si>
  <si>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</si>
  <si>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</si>
  <si>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</si>
  <si>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</si>
  <si>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</si>
  <si>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</si>
  <si>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</si>
  <si>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</si>
  <si>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</si>
  <si>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</si>
  <si>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</si>
  <si>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</si>
  <si>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</si>
  <si>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</si>
  <si>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</si>
  <si>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</si>
  <si>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</si>
  <si>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</si>
  <si>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</si>
  <si>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</si>
  <si>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</si>
  <si>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</si>
  <si>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</si>
  <si>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</si>
  <si>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</si>
  <si>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</si>
  <si>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</si>
  <si>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</si>
  <si>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</si>
  <si>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</si>
  <si>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</si>
  <si>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</si>
  <si>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</si>
  <si>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</si>
  <si>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</si>
  <si>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</si>
  <si>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</si>
  <si>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</si>
  <si>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</si>
  <si>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</si>
  <si>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</si>
  <si>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</si>
  <si>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</si>
  <si>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</si>
  <si>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</si>
  <si>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</si>
  <si>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</si>
  <si>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</si>
  <si>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</si>
  <si>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</si>
  <si>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</si>
  <si>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</si>
  <si>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</si>
  <si>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</si>
  <si>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</si>
  <si>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</si>
  <si>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</si>
  <si>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</si>
  <si>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</si>
  <si>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</si>
  <si>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</si>
  <si>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</si>
  <si>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</si>
  <si>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</si>
  <si>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</si>
  <si>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</si>
  <si>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</si>
  <si>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</si>
  <si>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</si>
  <si>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</si>
  <si>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</si>
  <si>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</si>
  <si>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</si>
  <si>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</si>
  <si>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</si>
  <si>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</si>
  <si>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</si>
  <si>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</si>
  <si>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</si>
  <si>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</si>
  <si>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</si>
  <si>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</si>
  <si>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</si>
  <si>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</si>
  <si>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</si>
  <si>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</si>
  <si>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</si>
  <si>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</si>
  <si>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</si>
  <si>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</si>
  <si>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</si>
  <si>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</si>
  <si>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</si>
  <si>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</si>
  <si>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</si>
  <si>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</si>
  <si>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</si>
  <si>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</si>
  <si>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</si>
  <si>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</si>
  <si>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</si>
  <si>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</si>
  <si>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</si>
  <si>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</si>
  <si>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</si>
  <si>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</si>
  <si>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</si>
  <si>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</si>
  <si>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</si>
  <si>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</si>
  <si>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</si>
  <si>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</si>
  <si>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</si>
  <si>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</si>
  <si>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</si>
  <si>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</si>
  <si>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</si>
  <si>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</si>
  <si>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</si>
  <si>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</si>
  <si>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</si>
  <si>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</si>
  <si>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</si>
  <si>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</si>
  <si>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</si>
  <si>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</si>
  <si>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</si>
  <si>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</si>
  <si>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</si>
  <si>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</si>
  <si>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</si>
  <si>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</si>
  <si>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</si>
  <si>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</si>
  <si>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</si>
  <si>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</si>
  <si>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</si>
  <si>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</si>
  <si>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</si>
  <si>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</si>
  <si>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</si>
  <si>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</si>
  <si>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</si>
  <si>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</si>
  <si>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</si>
  <si>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</si>
  <si>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</si>
  <si>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</si>
  <si>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</si>
  <si>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</si>
  <si>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</si>
  <si>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</si>
  <si>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</si>
  <si>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</si>
  <si>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</si>
  <si>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</si>
  <si>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</si>
  <si>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</si>
  <si>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</si>
  <si>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</si>
  <si>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</si>
  <si>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</si>
  <si>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</si>
  <si>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</si>
  <si>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</si>
  <si>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</si>
  <si>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</si>
  <si>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</si>
  <si>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</si>
  <si>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</si>
  <si>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</si>
  <si>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</si>
  <si>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</si>
  <si>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</si>
  <si>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</si>
  <si>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</si>
  <si>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</si>
  <si>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</si>
  <si>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</si>
  <si>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</si>
  <si>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</si>
  <si>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</si>
  <si>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</si>
  <si>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</si>
  <si>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</si>
  <si>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</si>
  <si>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</si>
  <si>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</si>
  <si>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</si>
  <si>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</si>
  <si>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</si>
  <si>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</si>
  <si>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</si>
  <si>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</si>
  <si>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</si>
  <si>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</si>
  <si>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</si>
  <si>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</si>
  <si>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</si>
  <si>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</si>
  <si>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</si>
  <si>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</si>
  <si>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</si>
  <si>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</si>
  <si>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</si>
  <si>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</si>
  <si>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</si>
  <si>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</si>
  <si>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</si>
  <si>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</si>
  <si>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</si>
  <si>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</si>
  <si>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</si>
  <si>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</si>
  <si>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</si>
  <si>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</si>
  <si>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</si>
  <si>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</si>
  <si>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</si>
  <si>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</si>
  <si>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</si>
  <si>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</si>
  <si>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</si>
  <si>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</si>
  <si>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</si>
  <si>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</si>
  <si>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</si>
  <si>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</si>
  <si>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</si>
  <si>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</si>
  <si>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</si>
  <si>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</si>
  <si>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</si>
  <si>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</si>
  <si>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</si>
  <si>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</si>
  <si>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</si>
  <si>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</si>
  <si>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</si>
  <si>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</si>
  <si>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</si>
  <si>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</si>
  <si>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</si>
  <si>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</si>
  <si>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</si>
  <si>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</si>
  <si>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</si>
  <si>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</si>
  <si>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</si>
  <si>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</si>
  <si>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</si>
  <si>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</si>
  <si>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</si>
  <si>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</si>
  <si>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</si>
  <si>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</si>
  <si>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</si>
  <si>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</si>
  <si>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</si>
  <si>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</si>
  <si>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</si>
  <si>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</si>
  <si>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</si>
  <si>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</si>
  <si>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</si>
  <si>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</si>
  <si>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</si>
  <si>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</si>
  <si>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</si>
  <si>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</si>
  <si>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</si>
  <si>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</si>
  <si>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</si>
  <si>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</si>
  <si>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</si>
  <si>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</si>
  <si>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</si>
  <si>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</si>
  <si>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</si>
  <si>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</si>
  <si>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</si>
  <si>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</si>
  <si>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</si>
  <si>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</si>
  <si>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</si>
  <si>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</si>
  <si>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</si>
  <si>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</si>
  <si>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</si>
  <si>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</si>
  <si>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</si>
  <si>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</si>
  <si>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</si>
  <si>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</si>
  <si>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</si>
  <si>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</si>
  <si>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</si>
  <si>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</si>
  <si>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</si>
  <si>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</si>
  <si>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</si>
  <si>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</si>
  <si>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</si>
  <si>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</si>
  <si>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</si>
  <si>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</si>
  <si>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</si>
  <si>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</si>
  <si>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</si>
  <si>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</si>
  <si>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</si>
  <si>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</si>
  <si>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</si>
  <si>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</si>
  <si>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</si>
  <si>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</si>
  <si>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</si>
  <si>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</si>
  <si>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</si>
  <si>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</si>
  <si>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</si>
  <si>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</si>
  <si>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</si>
  <si>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</si>
  <si>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</si>
  <si>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</si>
  <si>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</si>
  <si>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</si>
  <si>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</si>
  <si>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</si>
  <si>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</si>
  <si>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</si>
  <si>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</si>
  <si>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</si>
  <si>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</si>
  <si>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</si>
  <si>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</si>
  <si>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</si>
  <si>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</si>
  <si>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</si>
  <si>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</si>
  <si>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</si>
  <si>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</si>
  <si>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</si>
  <si>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</si>
  <si>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</si>
  <si>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</si>
  <si>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</si>
  <si>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</si>
  <si>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</si>
  <si>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</si>
  <si>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</si>
  <si>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</si>
  <si>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</si>
  <si>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</si>
  <si>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</si>
  <si>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</si>
  <si>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</si>
  <si>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</si>
  <si>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</si>
  <si>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</si>
  <si>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</si>
  <si>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</si>
  <si>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</si>
  <si>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</si>
  <si>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</si>
  <si>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</si>
  <si>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</si>
  <si>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</si>
  <si>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</si>
  <si>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</si>
  <si>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</si>
  <si>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</si>
  <si>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</si>
  <si>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</si>
  <si>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</si>
  <si>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</si>
  <si>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</si>
  <si>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</si>
  <si>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</si>
  <si>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</si>
  <si>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</si>
  <si>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</si>
  <si>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</si>
  <si>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</si>
  <si>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</si>
  <si>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</si>
  <si>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</si>
  <si>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</si>
  <si>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</si>
  <si>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</si>
  <si>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</si>
  <si>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</si>
  <si>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</si>
  <si>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</si>
  <si>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</si>
  <si>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</si>
  <si>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</si>
  <si>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</si>
  <si>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</si>
  <si>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</si>
  <si>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</si>
  <si>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</si>
  <si>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</si>
  <si>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</si>
  <si>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</si>
  <si>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</si>
  <si>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</si>
  <si>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</si>
  <si>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</si>
  <si>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</si>
  <si>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</si>
  <si>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</si>
  <si>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</si>
  <si>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</si>
  <si>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</si>
  <si>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</si>
  <si>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</si>
  <si>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</si>
  <si>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</si>
  <si>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</si>
  <si>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</si>
  <si>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</si>
  <si>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</si>
  <si>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</si>
  <si>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</si>
  <si>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</si>
  <si>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</si>
  <si>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</si>
  <si>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</si>
  <si>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</si>
  <si>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</si>
  <si>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</si>
  <si>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</si>
  <si>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</si>
  <si>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</si>
  <si>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</si>
  <si>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</si>
  <si>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</si>
  <si>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</si>
  <si>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</si>
  <si>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</si>
  <si>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</si>
  <si>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</si>
  <si>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</si>
  <si>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</si>
  <si>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</si>
  <si>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</si>
  <si>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</si>
  <si>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</si>
  <si>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</si>
  <si>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</si>
  <si>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</si>
  <si>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</si>
  <si>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</si>
  <si>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</si>
  <si>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</si>
  <si>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</si>
  <si>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</si>
  <si>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</si>
  <si>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</si>
  <si>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</si>
  <si>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</si>
  <si>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</si>
  <si>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</si>
  <si>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</si>
  <si>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</si>
  <si>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</si>
  <si>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</si>
  <si>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</si>
  <si>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</si>
  <si>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</si>
  <si>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</si>
  <si>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</si>
  <si>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</si>
  <si>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</si>
  <si>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</si>
  <si>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</si>
  <si>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</si>
  <si>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</si>
  <si>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</si>
  <si>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</si>
  <si>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</si>
  <si>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</si>
  <si>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</si>
  <si>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</si>
  <si>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</si>
  <si>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</si>
  <si>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</si>
  <si>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</si>
  <si>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</si>
  <si>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</si>
  <si>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</si>
  <si>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</si>
  <si>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</si>
  <si>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</si>
  <si>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</si>
  <si>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</si>
  <si>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</si>
  <si>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</si>
  <si>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</si>
  <si>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</si>
  <si>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</si>
  <si>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</si>
  <si>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</si>
  <si>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</si>
  <si>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</si>
  <si>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</si>
  <si>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</si>
  <si>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</si>
  <si>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</si>
  <si>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</si>
  <si>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</si>
  <si>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</si>
  <si>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</si>
  <si>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</si>
  <si>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</si>
  <si>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</si>
  <si>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</si>
  <si>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</si>
  <si>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</si>
  <si>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</si>
  <si>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</si>
  <si>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</si>
  <si>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</si>
  <si>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</si>
  <si>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</si>
  <si>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</si>
  <si>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</si>
  <si>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</si>
  <si>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</si>
  <si>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</si>
  <si>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</si>
  <si>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</si>
  <si>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</si>
  <si>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</si>
  <si>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</si>
  <si>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</si>
  <si>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</si>
  <si>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</si>
  <si>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</si>
  <si>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</si>
  <si>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</si>
  <si>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</si>
  <si>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</si>
  <si>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</si>
  <si>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</si>
  <si>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</si>
  <si>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</si>
  <si>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</si>
  <si>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</si>
  <si>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</si>
  <si>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</si>
  <si>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</si>
  <si>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</si>
  <si>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</si>
  <si>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</si>
  <si>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</si>
  <si>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</si>
  <si>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</si>
  <si>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</si>
  <si>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</si>
  <si>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</si>
  <si>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</si>
  <si>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</si>
  <si>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</si>
  <si>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</si>
  <si>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</si>
  <si>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</si>
  <si>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</si>
  <si>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</si>
  <si>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</si>
  <si>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</si>
  <si>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</si>
  <si>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</si>
  <si>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</si>
  <si>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</si>
  <si>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</si>
  <si>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</si>
  <si>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</si>
  <si>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</si>
  <si>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</si>
  <si>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</si>
  <si>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</si>
  <si>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</si>
  <si>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</si>
  <si>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</si>
  <si>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</si>
  <si>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</si>
  <si>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</si>
  <si>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</si>
  <si>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</si>
  <si>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</si>
  <si>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</si>
  <si>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</si>
  <si>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</si>
  <si>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</si>
  <si>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</si>
  <si>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</si>
  <si>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</si>
  <si>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</si>
  <si>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</si>
  <si>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</si>
  <si>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</si>
  <si>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</si>
  <si>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</si>
  <si>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</si>
  <si>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</si>
  <si>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</si>
  <si>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</si>
  <si>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</si>
  <si>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</si>
  <si>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</si>
  <si>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</si>
  <si>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</si>
  <si>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</si>
  <si>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</si>
  <si>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</si>
  <si>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</si>
  <si>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</si>
  <si>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</si>
  <si>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</si>
  <si>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</si>
  <si>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</si>
  <si>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</si>
  <si>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</si>
  <si>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</si>
  <si>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</si>
  <si>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</si>
  <si>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</si>
  <si>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</si>
  <si>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</si>
  <si>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</si>
  <si>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</si>
  <si>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</si>
  <si>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</si>
  <si>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</si>
  <si>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</si>
  <si>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</si>
  <si>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</si>
  <si>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</si>
  <si>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</si>
  <si>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</si>
  <si>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</si>
  <si>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</si>
  <si>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</si>
  <si>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</si>
  <si>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</si>
  <si>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</si>
  <si>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</si>
  <si>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</si>
  <si>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</si>
  <si>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</si>
  <si>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</si>
  <si>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</si>
  <si>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</si>
  <si>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</si>
  <si>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</si>
  <si>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</si>
  <si>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</si>
  <si>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</si>
  <si>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</si>
  <si>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</si>
  <si>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</si>
  <si>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</si>
  <si>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</si>
  <si>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</si>
  <si>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</si>
  <si>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</si>
  <si>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</si>
  <si>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</si>
  <si>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</si>
  <si>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</si>
  <si>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</si>
  <si>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</si>
  <si>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</si>
  <si>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</si>
  <si>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</si>
  <si>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</si>
  <si>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</si>
  <si>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</si>
  <si>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</si>
  <si>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</si>
  <si>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</si>
  <si>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</si>
  <si>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</si>
  <si>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</si>
  <si>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</si>
  <si>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</si>
  <si>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</si>
  <si>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</si>
  <si>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</si>
  <si>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</si>
  <si>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</si>
  <si>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</si>
  <si>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</si>
  <si>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</si>
  <si>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</si>
  <si>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</si>
  <si>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</si>
  <si>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</si>
  <si>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</si>
  <si>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</si>
  <si>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</si>
  <si>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</si>
  <si>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</si>
  <si>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</si>
  <si>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</si>
  <si>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</si>
  <si>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</si>
  <si>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</si>
  <si>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</si>
  <si>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</si>
  <si>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</si>
  <si>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</si>
  <si>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</si>
  <si>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</si>
  <si>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</si>
  <si>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</si>
  <si>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</si>
  <si>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</si>
  <si>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</si>
  <si>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</si>
  <si>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</si>
  <si>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</si>
  <si>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</si>
  <si>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</si>
  <si>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</si>
  <si>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</si>
  <si>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</si>
  <si>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</si>
  <si>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</si>
  <si>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</si>
  <si>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</si>
  <si>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</si>
  <si>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</si>
  <si>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</si>
  <si>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</si>
  <si>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</si>
  <si>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</si>
  <si>
    <t>IMTIYAZ NAZIR</t>
  </si>
  <si>
    <t>FIRDOUSA AKTHER</t>
  </si>
  <si>
    <t>MEHRAN AFROZ</t>
  </si>
  <si>
    <t>DAWOOD AHMAD KUMAR</t>
  </si>
  <si>
    <t>MA3SFM61STK558619</t>
  </si>
  <si>
    <t>MA3YPLCSKTH255892</t>
  </si>
  <si>
    <t>MBHZCDESKTK699795</t>
  </si>
  <si>
    <t>MBHZCDESKTH644216</t>
  </si>
  <si>
    <t>MBHZCDESKTG640979</t>
  </si>
  <si>
    <t>JK26102428698668</t>
  </si>
  <si>
    <t>JK26102448686232</t>
  </si>
  <si>
    <t>JK26102468702790</t>
  </si>
  <si>
    <t>JK26102498703076</t>
  </si>
  <si>
    <t>JK26102488700096</t>
  </si>
  <si>
    <t>JK05R2684</t>
  </si>
  <si>
    <t>2699429700086 </t>
  </si>
  <si>
    <t>JK22D8149</t>
  </si>
  <si>
    <t>2699429700087 </t>
  </si>
  <si>
    <t>JK18E7740</t>
  </si>
  <si>
    <t>JK18E7798</t>
  </si>
  <si>
    <t>2699429700088 </t>
  </si>
  <si>
    <t>PARVAIZ AHMAD THOKER</t>
  </si>
  <si>
    <t>MBHZCDESKTJ668570</t>
  </si>
  <si>
    <t>JK26102478706380</t>
  </si>
  <si>
    <t>JK13L1598</t>
  </si>
  <si>
    <t>2699429700089 </t>
  </si>
  <si>
    <t>JK22D8139</t>
  </si>
  <si>
    <t>2699429700091 </t>
  </si>
  <si>
    <t>NASEER AHMAD TANTARY</t>
  </si>
  <si>
    <t>TARIQ AHAMAD RATHER</t>
  </si>
  <si>
    <t>BISMA ALI</t>
  </si>
  <si>
    <t>ISHRAT MUSHTAQ</t>
  </si>
  <si>
    <t>SHAHID MUSHTAQ</t>
  </si>
  <si>
    <t>MA3SFM61STK561950</t>
  </si>
  <si>
    <t>MA3SFM61STK559589</t>
  </si>
  <si>
    <t>MA3RYHL1STH850448</t>
  </si>
  <si>
    <t>MBHZCDESKTH644831</t>
  </si>
  <si>
    <t>MA3RYHC1STK886277</t>
  </si>
  <si>
    <t>JK26102488684619</t>
  </si>
  <si>
    <t>JK26102448694415</t>
  </si>
  <si>
    <t>JK26102498689867</t>
  </si>
  <si>
    <t>JK26102478710908</t>
  </si>
  <si>
    <t>JK26102458699612</t>
  </si>
  <si>
    <t>JK05R2619</t>
  </si>
  <si>
    <t>2699429700096 </t>
  </si>
  <si>
    <t>JK01BG0614</t>
  </si>
  <si>
    <t>JK01BG0611</t>
  </si>
  <si>
    <t>JK01BG0695</t>
  </si>
  <si>
    <t>2699429700098 </t>
  </si>
  <si>
    <t>JK04L5602</t>
  </si>
  <si>
    <t>2699429700099 </t>
  </si>
  <si>
    <t>ASIF AHMED KOTROO</t>
  </si>
  <si>
    <t>MBHPA2ASKTH164368</t>
  </si>
  <si>
    <t>JK26102498721656</t>
  </si>
  <si>
    <t>JK01BG0623</t>
  </si>
  <si>
    <t>2699429700109 </t>
  </si>
  <si>
    <t>24-Oct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</si>
</sst>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38"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9.72220196759" createdVersion="8" refreshedVersion="8" minRefreshableVersion="3" recordCount="1446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46"/>
    </cacheField>
    <cacheField name="DATE" numFmtId="0">
      <sharedItems containsNonDate="0" containsDate="1" containsString="0" containsBlank="1" minDate="2026-06-04T00:00:00" maxDate="2026-10-25T00:00:00" count="82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d v="2026-10-24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5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5-10-2026"/>
        </groupItems>
      </fieldGroup>
    </cacheField>
    <cacheField name="Months (DATE)" numFmtId="0" databaseField="0">
      <fieldGroup base="1">
        <rangePr groupBy="months" startDate="2026-06-04T00:00:00" endDate="2026-10-25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6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m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m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m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m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m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m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m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m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m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m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m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m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m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m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m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m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m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m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m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m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m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m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m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m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m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m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m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m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m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m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m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m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m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m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m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m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m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m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m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m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m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m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m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m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m/>
    <s v="YAWAR'S ACCOUNT"/>
    <x v="0"/>
    <s v="2699429600195 "/>
  </r>
  <r>
    <n v="1434"/>
    <x v="80"/>
    <s v="IMTIYAZ NAZIR"/>
    <x v="1"/>
    <s v="ALTO K10 LXI"/>
    <s v="BARAMULLA ARTO (JK5)"/>
    <s v="PRIVATE"/>
    <s v="JK05R2684"/>
    <s v="MA3SFM61STK558619"/>
    <s v="JK26102428698668"/>
    <n v="38168"/>
    <n v="600"/>
    <s v="HDFC "/>
    <m/>
    <s v="YAWAR'S ACCOUNT"/>
    <x v="1"/>
    <s v="2699429700086 "/>
  </r>
  <r>
    <n v="1435"/>
    <x v="80"/>
    <s v="FIRDOUSA AKTHER"/>
    <x v="1"/>
    <s v="VICTORIS VXI"/>
    <s v="KULGAM ARTO (JK18)"/>
    <s v="PRIVATE"/>
    <s v="JK18E7740"/>
    <s v="MA3YPLCSKTH255892"/>
    <s v="JK26102448686232"/>
    <n v="108826"/>
    <n v="600"/>
    <s v="HDFC "/>
    <m/>
    <s v="YAWAR'S ACCOUNT"/>
    <x v="1"/>
    <s v="2699429700088 "/>
  </r>
  <r>
    <n v="1436"/>
    <x v="80"/>
    <s v="MEHRAN AFROZ"/>
    <x v="1"/>
    <s v="SWIFT VXI ISS"/>
    <s v="KULGAM ARTO (JK18)"/>
    <s v="PRIVATE"/>
    <s v="JK18E7798"/>
    <s v="MBHZCDESKTK699795"/>
    <s v="JK26102468702790"/>
    <n v="62272"/>
    <n v="600"/>
    <s v="HDFC "/>
    <m/>
    <s v="YAWAR'S ACCOUNT"/>
    <x v="1"/>
    <s v="2699429700088 "/>
  </r>
  <r>
    <n v="1437"/>
    <x v="80"/>
    <s v="DAWOOD AHMAD KUMAR"/>
    <x v="1"/>
    <s v="SWIFT ZXI"/>
    <s v="PULWAMA ARTO (JK13)"/>
    <s v="PRIVATE"/>
    <s v="JK13L1598"/>
    <s v="MBHZCDESKTH644216"/>
    <s v="JK26102498703076"/>
    <n v="70732"/>
    <n v="600"/>
    <s v="HDFC "/>
    <m/>
    <s v="YAWAR'S ACCOUNT"/>
    <x v="1"/>
    <s v="2699429700089 "/>
  </r>
  <r>
    <n v="1438"/>
    <x v="80"/>
    <s v="ASMAT JAN"/>
    <x v="1"/>
    <s v="SWIFT VXI"/>
    <s v="SHOPIAN ARTO (JK22)"/>
    <s v="PRIVATE"/>
    <s v="JK22D8149"/>
    <s v="MBHZCDESKTG640979"/>
    <s v="JK26102488700096"/>
    <n v="60772"/>
    <n v="600"/>
    <s v="HDFC "/>
    <m/>
    <s v="YAWAR'S ACCOUNT"/>
    <x v="1"/>
    <s v="2699429700087 "/>
  </r>
  <r>
    <n v="1439"/>
    <x v="80"/>
    <s v="PARVAIZ AHMAD THOKER"/>
    <x v="1"/>
    <s v="SWIFT LXI ISS"/>
    <s v="SHOPIAN ARTO (JK22)"/>
    <s v="PRIVATE"/>
    <s v="JK22D8139"/>
    <s v="MBHZCDESKTJ668570"/>
    <s v="JK26102478706380"/>
    <n v="54712"/>
    <n v="600"/>
    <s v="HDFC "/>
    <m/>
    <s v="YAWAR'S ACCOUNT"/>
    <x v="1"/>
    <s v="2699429700091 "/>
  </r>
  <r>
    <n v="1440"/>
    <x v="80"/>
    <s v="NASEER AHMAD TANTARY"/>
    <x v="1"/>
    <s v="ALTO K10 LXI"/>
    <s v="BARAMULLA ARTO (JK5)"/>
    <s v="PRIVATE"/>
    <s v="JK05R2619"/>
    <s v="MA3SFM61STK561950"/>
    <s v="JK26102488684619"/>
    <n v="38168"/>
    <n v="600"/>
    <s v="HDFC "/>
    <m/>
    <s v="YAWAR'S ACCOUNT"/>
    <x v="2"/>
    <s v="2699429700096 "/>
  </r>
  <r>
    <n v="1441"/>
    <x v="80"/>
    <s v="TARIQ AHAMAD RATHER"/>
    <x v="1"/>
    <s v="ALTO K10 LXI"/>
    <s v="BUDGAM ARTO (JK4)"/>
    <s v="PRIVATE"/>
    <s v="JK04L5602"/>
    <s v="MA3SFM61STK559589"/>
    <s v="JK26102448694415"/>
    <n v="38168"/>
    <n v="600"/>
    <s v="HDFC "/>
    <m/>
    <s v="YAWAR'S ACCOUNT"/>
    <x v="2"/>
    <s v="2699429700099 "/>
  </r>
  <r>
    <n v="1442"/>
    <x v="80"/>
    <s v="BISMA ALI"/>
    <x v="1"/>
    <s v="BREZZA ZXI"/>
    <s v="SRINAGAR RTO (JK1)"/>
    <s v="PRIVATE"/>
    <s v="JK01BG0611"/>
    <s v="MA3RYHL1STH850448"/>
    <s v="JK26102498689867"/>
    <n v="96676"/>
    <n v="600"/>
    <s v="HDFC "/>
    <m/>
    <s v="YAWAR'S ACCOUNT"/>
    <x v="2"/>
    <s v="2699429700098 "/>
  </r>
  <r>
    <n v="1443"/>
    <x v="80"/>
    <s v="ISHRAT MUSHTAQ"/>
    <x v="1"/>
    <s v="SWIFT LXI"/>
    <s v="SRINAGAR RTO (JK1)"/>
    <s v="PRIVATE"/>
    <s v="JK01BG0695"/>
    <s v="MBHZCDESKTH644831"/>
    <s v="JK26102478710908"/>
    <n v="54712"/>
    <n v="600"/>
    <s v="HDFC "/>
    <m/>
    <s v="YAWAR'S ACCOUNT"/>
    <x v="2"/>
    <s v="2699429700098 "/>
  </r>
  <r>
    <n v="1444"/>
    <x v="80"/>
    <s v="SHAHID MUSHTAQ"/>
    <x v="1"/>
    <s v="BREZZA LXI TURBO"/>
    <s v="SRINAGAR RTO (JK1)"/>
    <s v="PRIVATE"/>
    <s v="JK01BG0614"/>
    <s v="MA3RYHC1STK886277"/>
    <s v="JK26102458699612"/>
    <n v="68773"/>
    <n v="600"/>
    <s v="HDFC "/>
    <m/>
    <s v="YAWAR'S ACCOUNT"/>
    <x v="2"/>
    <s v="2699429700098 "/>
  </r>
  <r>
    <n v="1445"/>
    <x v="80"/>
    <s v="ASIF AHMED KOTROO"/>
    <x v="0"/>
    <s v="EVITARA EV DELTA"/>
    <s v="SRINAGAR RTO (JK1)"/>
    <s v="PRIVATE"/>
    <s v="JK01BG0623"/>
    <s v="MBHPA2ASKTH164368"/>
    <s v="JK26102498721656"/>
    <n v="2164"/>
    <n v="600"/>
    <s v="HDFC "/>
    <m/>
    <s v="YAWAR'S ACCOUNT"/>
    <x v="0"/>
    <s v="2699429700109 "/>
  </r>
  <r>
    <n v="1446"/>
    <x v="81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0" firstHeaderRow="1" firstDataRow="2" firstDataCol="1"/>
  <pivotFields count="19">
    <pivotField showAll="0"/>
    <pivotField numFmtId="14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1"/>
        <item x="80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6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1">
      <x v="298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19">
      <pivotArea type="all" dataOnly="0" outline="0" fieldPosition="0"/>
    </format>
    <format dxfId="18">
      <pivotArea type="all" dataOnly="0" outline="0" fieldPosition="0"/>
    </format>
    <format dxfId="17">
      <pivotArea type="origin" dataOnly="0" labelOnly="1" outline="0" fieldPosition="0"/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47" totalsRowShown="0" dataDxfId="37">
  <autoFilter ref="A1:Q1447" xr:uid="{AE792750-00FD-482D-8AEB-8405C54BCAF6}"/>
  <tableColumns count="17">
    <tableColumn id="1" xr3:uid="{80173DA0-3FD2-4C4C-A0CA-8C43E67DB282}" name="S.NO" dataDxfId="36">
      <calculatedColumnFormula>ROW()-1</calculatedColumnFormula>
    </tableColumn>
    <tableColumn id="2" xr3:uid="{ABFF24A4-0815-4538-8183-68C5984D3EF0}" name="DATE" dataDxfId="35"/>
    <tableColumn id="3" xr3:uid="{DA2615C9-2C7D-4270-B0A1-A71D6521C177}" name="CUSTOMER NAME" dataDxfId="34"/>
    <tableColumn id="4" xr3:uid="{943A0081-AFC6-463C-8F4D-06A87156D6C0}" name="MARUTI" dataDxfId="33"/>
    <tableColumn id="5" xr3:uid="{4EDBDA84-C291-4B29-9707-CCF18D99E2C4}" name="MODEL OR VARIANT" dataDxfId="32"/>
    <tableColumn id="6" xr3:uid="{D0E6D2AD-24AE-4425-ACB5-1A4C21C49EDA}" name="RTO" dataDxfId="31"/>
    <tableColumn id="7" xr3:uid="{21C42BB2-639C-4AD5-8714-4A991A676101}" name="VEHICLE CLASS" dataDxfId="30"/>
    <tableColumn id="8" xr3:uid="{4AB850B5-E035-43E0-B22C-528AFF16227D}" name="REG. NO" dataDxfId="29"/>
    <tableColumn id="9" xr3:uid="{151E74E9-C5BB-49B5-A761-3CC2EE3FFA8F}" name="VIN" dataDxfId="28"/>
    <tableColumn id="10" xr3:uid="{A11683D1-728D-4264-A750-F0288A98DC1B}" name="APPLICATION NO." dataDxfId="27"/>
    <tableColumn id="11" xr3:uid="{48122D1A-9594-49E1-8BE9-AE6493F5DCF1}" name="RTO AMMOUNT " dataDxfId="26"/>
    <tableColumn id="12" xr3:uid="{1AACBF9C-AE1D-4C49-A5E5-D58EC4001487}" name="HSRP" dataDxfId="25"/>
    <tableColumn id="13" xr3:uid="{93AA1709-836B-4CBC-BFDC-C8C731759EFB}" name="ACCOUNT" dataDxfId="24"/>
    <tableColumn id="14" xr3:uid="{089B1B28-B423-4AE5-9B46-B02F9B6EF8DE}" name="RM NAME" dataDxfId="23"/>
    <tableColumn id="15" xr3:uid="{99DBAA1B-1CBA-41A4-9FEE-BB2CE302DB3A}" name="PAYMENT MODE" dataDxfId="22"/>
    <tableColumn id="16" xr3:uid="{7DC8BE89-FBC1-47B3-968F-FC03E6208C5D}" name="FILE PUNCHED BY" dataDxfId="21"/>
    <tableColumn id="17" xr3:uid="{37B74285-FFD1-464F-B2B5-3E803549F0C1}" name="PAYMENT ID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48"/>
  <sheetViews>
    <sheetView tabSelected="1" topLeftCell="A1428" zoomScaleNormal="100" workbookViewId="0">
      <selection activeCell="F1451" sqref="F1451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/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/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/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/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/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/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/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/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/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/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/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/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/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/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/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/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/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/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/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/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/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/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/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/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/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/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/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/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/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/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/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/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/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/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/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/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/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/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/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/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/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/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/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/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/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9">
        <v>46319</v>
      </c>
      <c r="C1435" s="6" t="s">
        <v>6510</v>
      </c>
      <c r="D1435" s="6" t="s">
        <v>99</v>
      </c>
      <c r="E1435" s="6" t="s">
        <v>69</v>
      </c>
      <c r="F1435" s="6" t="s">
        <v>94</v>
      </c>
      <c r="G1435" s="6" t="s">
        <v>20</v>
      </c>
      <c r="H1435" s="6" t="s">
        <v>6524</v>
      </c>
      <c r="I1435" s="6" t="s">
        <v>6514</v>
      </c>
      <c r="J1435" s="6" t="s">
        <v>6519</v>
      </c>
      <c r="K1435" s="6">
        <v>38168</v>
      </c>
      <c r="L1435" s="6">
        <v>600</v>
      </c>
      <c r="M1435" s="6" t="s">
        <v>6325</v>
      </c>
      <c r="N1435" s="6"/>
      <c r="O1435" s="6" t="s">
        <v>6326</v>
      </c>
      <c r="P1435" s="8" t="s">
        <v>101</v>
      </c>
      <c r="Q1435" s="10" t="s">
        <v>6525</v>
      </c>
    </row>
    <row r="1436" spans="1:17" x14ac:dyDescent="0.25">
      <c r="A1436" s="8">
        <f t="shared" ref="A1436:A1437" si="181">ROW()-1</f>
        <v>1435</v>
      </c>
      <c r="B1436" s="9">
        <v>46319</v>
      </c>
      <c r="C1436" s="6" t="s">
        <v>6511</v>
      </c>
      <c r="D1436" s="6" t="s">
        <v>99</v>
      </c>
      <c r="E1436" s="6" t="s">
        <v>329</v>
      </c>
      <c r="F1436" s="6" t="s">
        <v>140</v>
      </c>
      <c r="G1436" s="6" t="s">
        <v>20</v>
      </c>
      <c r="H1436" s="6" t="s">
        <v>6528</v>
      </c>
      <c r="I1436" s="6" t="s">
        <v>6515</v>
      </c>
      <c r="J1436" s="6" t="s">
        <v>6520</v>
      </c>
      <c r="K1436" s="6">
        <v>108826</v>
      </c>
      <c r="L1436" s="6">
        <v>600</v>
      </c>
      <c r="M1436" s="6" t="s">
        <v>6325</v>
      </c>
      <c r="N1436" s="6"/>
      <c r="O1436" s="6" t="s">
        <v>6326</v>
      </c>
      <c r="P1436" s="8" t="s">
        <v>101</v>
      </c>
      <c r="Q1436" s="10" t="s">
        <v>6530</v>
      </c>
    </row>
    <row r="1437" spans="1:17" x14ac:dyDescent="0.25">
      <c r="A1437" s="8">
        <f t="shared" si="181"/>
        <v>1436</v>
      </c>
      <c r="B1437" s="9">
        <v>46319</v>
      </c>
      <c r="C1437" s="6" t="s">
        <v>6512</v>
      </c>
      <c r="D1437" s="6" t="s">
        <v>99</v>
      </c>
      <c r="E1437" s="6" t="s">
        <v>3707</v>
      </c>
      <c r="F1437" s="6" t="s">
        <v>140</v>
      </c>
      <c r="G1437" s="6" t="s">
        <v>20</v>
      </c>
      <c r="H1437" s="6" t="s">
        <v>6529</v>
      </c>
      <c r="I1437" s="6" t="s">
        <v>6516</v>
      </c>
      <c r="J1437" s="6" t="s">
        <v>6521</v>
      </c>
      <c r="K1437" s="6">
        <v>62272</v>
      </c>
      <c r="L1437" s="6">
        <v>600</v>
      </c>
      <c r="M1437" s="6" t="s">
        <v>6325</v>
      </c>
      <c r="N1437" s="6"/>
      <c r="O1437" s="6" t="s">
        <v>6326</v>
      </c>
      <c r="P1437" s="8" t="s">
        <v>101</v>
      </c>
      <c r="Q1437" s="10" t="s">
        <v>6530</v>
      </c>
    </row>
    <row r="1438" spans="1:17" x14ac:dyDescent="0.25">
      <c r="A1438" s="8">
        <f>ROW()-1</f>
        <v>1437</v>
      </c>
      <c r="B1438" s="9">
        <v>46319</v>
      </c>
      <c r="C1438" s="6" t="s">
        <v>6513</v>
      </c>
      <c r="D1438" s="6" t="s">
        <v>99</v>
      </c>
      <c r="E1438" s="6" t="s">
        <v>328</v>
      </c>
      <c r="F1438" s="6" t="s">
        <v>95</v>
      </c>
      <c r="G1438" s="6" t="s">
        <v>20</v>
      </c>
      <c r="H1438" s="6" t="s">
        <v>6534</v>
      </c>
      <c r="I1438" s="6" t="s">
        <v>6517</v>
      </c>
      <c r="J1438" s="6" t="s">
        <v>6522</v>
      </c>
      <c r="K1438" s="6">
        <v>70732</v>
      </c>
      <c r="L1438" s="6">
        <v>600</v>
      </c>
      <c r="M1438" s="6" t="s">
        <v>6325</v>
      </c>
      <c r="N1438" s="6"/>
      <c r="O1438" s="6" t="s">
        <v>6326</v>
      </c>
      <c r="P1438" s="8" t="s">
        <v>101</v>
      </c>
      <c r="Q1438" s="10" t="s">
        <v>6535</v>
      </c>
    </row>
    <row r="1439" spans="1:17" x14ac:dyDescent="0.25">
      <c r="A1439" s="8">
        <f>ROW()-1</f>
        <v>1438</v>
      </c>
      <c r="B1439" s="9">
        <v>46319</v>
      </c>
      <c r="C1439" s="6" t="s">
        <v>3107</v>
      </c>
      <c r="D1439" s="6" t="s">
        <v>99</v>
      </c>
      <c r="E1439" s="6" t="s">
        <v>71</v>
      </c>
      <c r="F1439" s="6" t="s">
        <v>96</v>
      </c>
      <c r="G1439" s="6" t="s">
        <v>20</v>
      </c>
      <c r="H1439" s="6" t="s">
        <v>6526</v>
      </c>
      <c r="I1439" s="6" t="s">
        <v>6518</v>
      </c>
      <c r="J1439" s="6" t="s">
        <v>6523</v>
      </c>
      <c r="K1439" s="6">
        <v>60772</v>
      </c>
      <c r="L1439" s="6">
        <v>600</v>
      </c>
      <c r="M1439" s="6" t="s">
        <v>6325</v>
      </c>
      <c r="N1439" s="6"/>
      <c r="O1439" s="6" t="s">
        <v>6326</v>
      </c>
      <c r="P1439" s="8" t="s">
        <v>101</v>
      </c>
      <c r="Q1439" s="10" t="s">
        <v>6527</v>
      </c>
    </row>
    <row r="1440" spans="1:17" x14ac:dyDescent="0.25">
      <c r="A1440" s="8">
        <f t="shared" ref="A1440:A1442" si="182">ROW()-1</f>
        <v>1439</v>
      </c>
      <c r="B1440" s="9">
        <v>46319</v>
      </c>
      <c r="C1440" s="6" t="s">
        <v>6531</v>
      </c>
      <c r="D1440" s="6" t="s">
        <v>99</v>
      </c>
      <c r="E1440" s="6" t="s">
        <v>4646</v>
      </c>
      <c r="F1440" s="6" t="s">
        <v>96</v>
      </c>
      <c r="G1440" s="6" t="s">
        <v>20</v>
      </c>
      <c r="H1440" s="6" t="s">
        <v>6536</v>
      </c>
      <c r="I1440" s="6" t="s">
        <v>6532</v>
      </c>
      <c r="J1440" s="6" t="s">
        <v>6533</v>
      </c>
      <c r="K1440" s="6">
        <v>54712</v>
      </c>
      <c r="L1440" s="6">
        <v>600</v>
      </c>
      <c r="M1440" s="6" t="s">
        <v>6325</v>
      </c>
      <c r="N1440" s="6"/>
      <c r="O1440" s="6" t="s">
        <v>6326</v>
      </c>
      <c r="P1440" s="8" t="s">
        <v>101</v>
      </c>
      <c r="Q1440" s="10" t="s">
        <v>6537</v>
      </c>
    </row>
    <row r="1441" spans="1:17" x14ac:dyDescent="0.25">
      <c r="A1441" s="8">
        <f t="shared" si="182"/>
        <v>1440</v>
      </c>
      <c r="B1441" s="9">
        <v>46319</v>
      </c>
      <c r="C1441" s="6" t="s">
        <v>6538</v>
      </c>
      <c r="D1441" s="6" t="s">
        <v>99</v>
      </c>
      <c r="E1441" s="6" t="s">
        <v>69</v>
      </c>
      <c r="F1441" s="6" t="s">
        <v>94</v>
      </c>
      <c r="G1441" s="6" t="s">
        <v>20</v>
      </c>
      <c r="H1441" s="6" t="s">
        <v>6553</v>
      </c>
      <c r="I1441" s="6" t="s">
        <v>6543</v>
      </c>
      <c r="J1441" s="6" t="s">
        <v>6548</v>
      </c>
      <c r="K1441" s="6">
        <v>38168</v>
      </c>
      <c r="L1441" s="6">
        <v>600</v>
      </c>
      <c r="M1441" s="6" t="s">
        <v>6325</v>
      </c>
      <c r="N1441" s="6"/>
      <c r="O1441" s="6" t="s">
        <v>6326</v>
      </c>
      <c r="P1441" s="8" t="s">
        <v>100</v>
      </c>
      <c r="Q1441" s="10" t="s">
        <v>6554</v>
      </c>
    </row>
    <row r="1442" spans="1:17" x14ac:dyDescent="0.25">
      <c r="A1442" s="8">
        <f t="shared" si="182"/>
        <v>1441</v>
      </c>
      <c r="B1442" s="9">
        <v>46319</v>
      </c>
      <c r="C1442" s="6" t="s">
        <v>6539</v>
      </c>
      <c r="D1442" s="6" t="s">
        <v>99</v>
      </c>
      <c r="E1442" s="6" t="s">
        <v>69</v>
      </c>
      <c r="F1442" s="6" t="s">
        <v>183</v>
      </c>
      <c r="G1442" s="6" t="s">
        <v>20</v>
      </c>
      <c r="H1442" s="6" t="s">
        <v>6559</v>
      </c>
      <c r="I1442" s="6" t="s">
        <v>6544</v>
      </c>
      <c r="J1442" s="6" t="s">
        <v>6549</v>
      </c>
      <c r="K1442" s="6">
        <v>38168</v>
      </c>
      <c r="L1442" s="6">
        <v>600</v>
      </c>
      <c r="M1442" s="6" t="s">
        <v>6325</v>
      </c>
      <c r="N1442" s="6"/>
      <c r="O1442" s="6" t="s">
        <v>6326</v>
      </c>
      <c r="P1442" s="8" t="s">
        <v>100</v>
      </c>
      <c r="Q1442" s="10" t="s">
        <v>6560</v>
      </c>
    </row>
    <row r="1443" spans="1:17" x14ac:dyDescent="0.25">
      <c r="A1443" s="8">
        <f t="shared" ref="A1443:A1447" si="183">ROW()-1</f>
        <v>1442</v>
      </c>
      <c r="B1443" s="9">
        <v>46319</v>
      </c>
      <c r="C1443" s="6" t="s">
        <v>6540</v>
      </c>
      <c r="D1443" s="6" t="s">
        <v>99</v>
      </c>
      <c r="E1443" s="6" t="s">
        <v>1254</v>
      </c>
      <c r="F1443" s="6" t="s">
        <v>97</v>
      </c>
      <c r="G1443" s="6" t="s">
        <v>20</v>
      </c>
      <c r="H1443" s="6" t="s">
        <v>6556</v>
      </c>
      <c r="I1443" s="6" t="s">
        <v>6545</v>
      </c>
      <c r="J1443" s="6" t="s">
        <v>6550</v>
      </c>
      <c r="K1443" s="6">
        <v>96676</v>
      </c>
      <c r="L1443" s="6">
        <v>600</v>
      </c>
      <c r="M1443" s="6" t="s">
        <v>6325</v>
      </c>
      <c r="N1443" s="6"/>
      <c r="O1443" s="6" t="s">
        <v>6326</v>
      </c>
      <c r="P1443" s="8" t="s">
        <v>100</v>
      </c>
      <c r="Q1443" s="10" t="s">
        <v>6558</v>
      </c>
    </row>
    <row r="1444" spans="1:17" x14ac:dyDescent="0.25">
      <c r="A1444" s="8">
        <f t="shared" si="183"/>
        <v>1443</v>
      </c>
      <c r="B1444" s="9">
        <v>46319</v>
      </c>
      <c r="C1444" s="6" t="s">
        <v>6541</v>
      </c>
      <c r="D1444" s="6" t="s">
        <v>99</v>
      </c>
      <c r="E1444" s="6" t="s">
        <v>68</v>
      </c>
      <c r="F1444" s="6" t="s">
        <v>97</v>
      </c>
      <c r="G1444" s="6" t="s">
        <v>20</v>
      </c>
      <c r="H1444" s="6" t="s">
        <v>6557</v>
      </c>
      <c r="I1444" s="6" t="s">
        <v>6546</v>
      </c>
      <c r="J1444" s="6" t="s">
        <v>6551</v>
      </c>
      <c r="K1444" s="6">
        <v>54712</v>
      </c>
      <c r="L1444" s="6">
        <v>600</v>
      </c>
      <c r="M1444" s="6" t="s">
        <v>6325</v>
      </c>
      <c r="N1444" s="6"/>
      <c r="O1444" s="6" t="s">
        <v>6326</v>
      </c>
      <c r="P1444" s="8" t="s">
        <v>100</v>
      </c>
      <c r="Q1444" s="10" t="s">
        <v>6558</v>
      </c>
    </row>
    <row r="1445" spans="1:17" x14ac:dyDescent="0.25">
      <c r="A1445" s="8">
        <f t="shared" si="183"/>
        <v>1444</v>
      </c>
      <c r="B1445" s="9">
        <v>46319</v>
      </c>
      <c r="C1445" s="6" t="s">
        <v>6542</v>
      </c>
      <c r="D1445" s="6" t="s">
        <v>99</v>
      </c>
      <c r="E1445" s="6" t="s">
        <v>1512</v>
      </c>
      <c r="F1445" s="6" t="s">
        <v>97</v>
      </c>
      <c r="G1445" s="6" t="s">
        <v>20</v>
      </c>
      <c r="H1445" s="6" t="s">
        <v>6555</v>
      </c>
      <c r="I1445" s="6" t="s">
        <v>6547</v>
      </c>
      <c r="J1445" s="6" t="s">
        <v>6552</v>
      </c>
      <c r="K1445" s="6">
        <v>68773</v>
      </c>
      <c r="L1445" s="6">
        <v>600</v>
      </c>
      <c r="M1445" s="6" t="s">
        <v>6325</v>
      </c>
      <c r="N1445" s="6"/>
      <c r="O1445" s="6" t="s">
        <v>6326</v>
      </c>
      <c r="P1445" s="8" t="s">
        <v>100</v>
      </c>
      <c r="Q1445" s="10" t="s">
        <v>6558</v>
      </c>
    </row>
    <row r="1446" spans="1:17" x14ac:dyDescent="0.25">
      <c r="A1446" s="8">
        <f t="shared" si="183"/>
        <v>1445</v>
      </c>
      <c r="B1446" s="9">
        <v>46319</v>
      </c>
      <c r="C1446" s="6" t="s">
        <v>6561</v>
      </c>
      <c r="D1446" s="6" t="s">
        <v>18</v>
      </c>
      <c r="E1446" s="6" t="s">
        <v>48</v>
      </c>
      <c r="F1446" s="6" t="s">
        <v>97</v>
      </c>
      <c r="G1446" s="6" t="s">
        <v>20</v>
      </c>
      <c r="H1446" s="6" t="s">
        <v>6564</v>
      </c>
      <c r="I1446" s="6" t="s">
        <v>6562</v>
      </c>
      <c r="J1446" s="6" t="s">
        <v>6563</v>
      </c>
      <c r="K1446" s="6">
        <v>2164</v>
      </c>
      <c r="L1446" s="6">
        <v>600</v>
      </c>
      <c r="M1446" s="6" t="s">
        <v>6325</v>
      </c>
      <c r="N1446" s="6"/>
      <c r="O1446" s="6" t="s">
        <v>6326</v>
      </c>
      <c r="P1446" s="8" t="s">
        <v>27</v>
      </c>
      <c r="Q1446" s="10" t="s">
        <v>6565</v>
      </c>
    </row>
    <row r="1447" spans="1:17" x14ac:dyDescent="0.25">
      <c r="A1447" s="8">
        <f t="shared" si="183"/>
        <v>1446</v>
      </c>
      <c r="B1447" s="8"/>
      <c r="C1447" s="6"/>
      <c r="D1447" s="6"/>
      <c r="E1447" s="6"/>
      <c r="F1447" s="6"/>
      <c r="G1447" s="6"/>
      <c r="H1447" s="6"/>
      <c r="I1447" s="6"/>
      <c r="J1447" s="6"/>
      <c r="K1447" s="6"/>
      <c r="L1447" s="8"/>
      <c r="M1447" s="8"/>
      <c r="N1447" s="8"/>
      <c r="O1447" s="7"/>
      <c r="P1447" s="8"/>
      <c r="Q1447" s="10"/>
    </row>
    <row r="1448" spans="1:17" x14ac:dyDescent="0.25">
      <c r="C1448" s="6"/>
      <c r="D1448" s="6"/>
      <c r="E1448" s="6"/>
      <c r="F1448" s="6"/>
      <c r="G1448" s="6"/>
      <c r="H1448" s="6"/>
      <c r="I1448" s="6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4"/>
  <sheetViews>
    <sheetView topLeftCell="A19" workbookViewId="0">
      <selection activeCell="A28" sqref="A28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17"/>
      <c r="C5" s="17"/>
      <c r="D5" s="17"/>
      <c r="E5" s="17"/>
      <c r="F5" s="17"/>
      <c r="G5" s="17"/>
    </row>
    <row r="6" spans="1:7" x14ac:dyDescent="0.25">
      <c r="A6" s="6" t="s">
        <v>6198</v>
      </c>
      <c r="B6" s="17">
        <v>6</v>
      </c>
      <c r="C6" s="17">
        <v>17</v>
      </c>
      <c r="D6" s="17">
        <v>17</v>
      </c>
      <c r="E6" s="17"/>
      <c r="F6" s="17">
        <v>9</v>
      </c>
      <c r="G6" s="17">
        <v>49</v>
      </c>
    </row>
    <row r="7" spans="1:7" x14ac:dyDescent="0.25">
      <c r="A7" s="6" t="s">
        <v>6196</v>
      </c>
      <c r="B7" s="17">
        <v>21</v>
      </c>
      <c r="C7" s="17">
        <v>78</v>
      </c>
      <c r="D7" s="17">
        <v>42</v>
      </c>
      <c r="E7" s="17"/>
      <c r="F7" s="17"/>
      <c r="G7" s="17">
        <v>141</v>
      </c>
    </row>
    <row r="8" spans="1:7" x14ac:dyDescent="0.25">
      <c r="A8" s="6" t="s">
        <v>6197</v>
      </c>
      <c r="B8" s="17">
        <v>53</v>
      </c>
      <c r="C8" s="17">
        <v>161</v>
      </c>
      <c r="D8" s="17">
        <v>135</v>
      </c>
      <c r="E8" s="17"/>
      <c r="F8" s="17"/>
      <c r="G8" s="17">
        <v>349</v>
      </c>
    </row>
    <row r="9" spans="1:7" x14ac:dyDescent="0.25">
      <c r="A9" s="6" t="s">
        <v>6194</v>
      </c>
      <c r="B9" s="17">
        <v>83</v>
      </c>
      <c r="C9" s="17">
        <v>259</v>
      </c>
      <c r="D9" s="17">
        <v>205</v>
      </c>
      <c r="E9" s="17"/>
      <c r="F9" s="17"/>
      <c r="G9" s="17">
        <v>547</v>
      </c>
    </row>
    <row r="10" spans="1:7" x14ac:dyDescent="0.25">
      <c r="A10" s="6" t="s">
        <v>6195</v>
      </c>
      <c r="B10" s="17">
        <v>37</v>
      </c>
      <c r="C10" s="17">
        <v>208</v>
      </c>
      <c r="D10" s="17">
        <v>109</v>
      </c>
      <c r="E10" s="17">
        <v>1</v>
      </c>
      <c r="F10" s="17"/>
      <c r="G10" s="17">
        <v>355</v>
      </c>
    </row>
    <row r="11" spans="1:7" x14ac:dyDescent="0.25">
      <c r="A11" s="16" t="s">
        <v>6199</v>
      </c>
      <c r="B11" s="17"/>
      <c r="C11" s="17">
        <v>10</v>
      </c>
      <c r="D11" s="17">
        <v>5</v>
      </c>
      <c r="E11" s="17"/>
      <c r="F11" s="17"/>
      <c r="G11" s="17">
        <v>15</v>
      </c>
    </row>
    <row r="12" spans="1:7" x14ac:dyDescent="0.25">
      <c r="A12" s="16" t="s">
        <v>6200</v>
      </c>
      <c r="B12" s="17"/>
      <c r="C12" s="17"/>
      <c r="D12" s="17">
        <v>1</v>
      </c>
      <c r="E12" s="17"/>
      <c r="F12" s="17"/>
      <c r="G12" s="17">
        <v>1</v>
      </c>
    </row>
    <row r="13" spans="1:7" x14ac:dyDescent="0.25">
      <c r="A13" s="16" t="s">
        <v>6201</v>
      </c>
      <c r="B13" s="17">
        <v>4</v>
      </c>
      <c r="C13" s="17">
        <v>12</v>
      </c>
      <c r="D13" s="17">
        <v>3</v>
      </c>
      <c r="E13" s="17"/>
      <c r="F13" s="17"/>
      <c r="G13" s="17">
        <v>19</v>
      </c>
    </row>
    <row r="14" spans="1:7" x14ac:dyDescent="0.25">
      <c r="A14" s="16" t="s">
        <v>6202</v>
      </c>
      <c r="B14" s="17">
        <v>4</v>
      </c>
      <c r="C14" s="17">
        <v>5</v>
      </c>
      <c r="D14" s="17">
        <v>3</v>
      </c>
      <c r="E14" s="17"/>
      <c r="F14" s="17"/>
      <c r="G14" s="17">
        <v>12</v>
      </c>
    </row>
    <row r="15" spans="1:7" x14ac:dyDescent="0.25">
      <c r="A15" s="16" t="s">
        <v>6203</v>
      </c>
      <c r="B15" s="17">
        <v>4</v>
      </c>
      <c r="C15" s="17">
        <v>17</v>
      </c>
      <c r="D15" s="17">
        <v>1</v>
      </c>
      <c r="E15" s="17"/>
      <c r="F15" s="17"/>
      <c r="G15" s="17">
        <v>22</v>
      </c>
    </row>
    <row r="16" spans="1:7" x14ac:dyDescent="0.25">
      <c r="A16" s="16" t="s">
        <v>6204</v>
      </c>
      <c r="B16" s="17"/>
      <c r="C16" s="17">
        <v>12</v>
      </c>
      <c r="D16" s="17">
        <v>5</v>
      </c>
      <c r="E16" s="17"/>
      <c r="F16" s="17"/>
      <c r="G16" s="17">
        <v>17</v>
      </c>
    </row>
    <row r="17" spans="1:7" x14ac:dyDescent="0.25">
      <c r="A17" s="16" t="s">
        <v>6205</v>
      </c>
      <c r="B17" s="17">
        <v>1</v>
      </c>
      <c r="C17" s="17">
        <v>14</v>
      </c>
      <c r="D17" s="17">
        <v>5</v>
      </c>
      <c r="E17" s="17"/>
      <c r="F17" s="17"/>
      <c r="G17" s="17">
        <v>20</v>
      </c>
    </row>
    <row r="18" spans="1:7" x14ac:dyDescent="0.25">
      <c r="A18" s="16" t="s">
        <v>6206</v>
      </c>
      <c r="B18" s="17">
        <v>2</v>
      </c>
      <c r="C18" s="17">
        <v>15</v>
      </c>
      <c r="D18" s="17">
        <v>1</v>
      </c>
      <c r="E18" s="17"/>
      <c r="F18" s="17"/>
      <c r="G18" s="17">
        <v>18</v>
      </c>
    </row>
    <row r="19" spans="1:7" x14ac:dyDescent="0.25">
      <c r="A19" s="16" t="s">
        <v>6207</v>
      </c>
      <c r="B19" s="17"/>
      <c r="C19" s="17">
        <v>9</v>
      </c>
      <c r="D19" s="17">
        <v>3</v>
      </c>
      <c r="E19" s="17"/>
      <c r="F19" s="17"/>
      <c r="G19" s="17">
        <v>12</v>
      </c>
    </row>
    <row r="20" spans="1:7" x14ac:dyDescent="0.25">
      <c r="A20" s="16" t="s">
        <v>6208</v>
      </c>
      <c r="B20" s="17"/>
      <c r="C20" s="17">
        <v>3</v>
      </c>
      <c r="D20" s="17">
        <v>8</v>
      </c>
      <c r="E20" s="17"/>
      <c r="F20" s="17"/>
      <c r="G20" s="17">
        <v>11</v>
      </c>
    </row>
    <row r="21" spans="1:7" x14ac:dyDescent="0.25">
      <c r="A21" s="16" t="s">
        <v>6209</v>
      </c>
      <c r="B21" s="17">
        <v>1</v>
      </c>
      <c r="C21" s="17">
        <v>11</v>
      </c>
      <c r="D21" s="17">
        <v>8</v>
      </c>
      <c r="E21" s="17"/>
      <c r="F21" s="17"/>
      <c r="G21" s="17">
        <v>20</v>
      </c>
    </row>
    <row r="22" spans="1:7" x14ac:dyDescent="0.25">
      <c r="A22" s="16" t="s">
        <v>6210</v>
      </c>
      <c r="B22" s="17">
        <v>1</v>
      </c>
      <c r="C22" s="17">
        <v>14</v>
      </c>
      <c r="D22" s="17">
        <v>14</v>
      </c>
      <c r="E22" s="17"/>
      <c r="F22" s="17"/>
      <c r="G22" s="17">
        <v>29</v>
      </c>
    </row>
    <row r="23" spans="1:7" x14ac:dyDescent="0.25">
      <c r="A23" s="16" t="s">
        <v>6211</v>
      </c>
      <c r="B23" s="17">
        <v>5</v>
      </c>
      <c r="C23" s="17">
        <v>15</v>
      </c>
      <c r="D23" s="17">
        <v>4</v>
      </c>
      <c r="E23" s="17"/>
      <c r="F23" s="17"/>
      <c r="G23" s="17">
        <v>24</v>
      </c>
    </row>
    <row r="24" spans="1:7" x14ac:dyDescent="0.25">
      <c r="A24" s="16" t="s">
        <v>6212</v>
      </c>
      <c r="B24" s="17">
        <v>4</v>
      </c>
      <c r="C24" s="17">
        <v>15</v>
      </c>
      <c r="D24" s="17">
        <v>11</v>
      </c>
      <c r="E24" s="17">
        <v>1</v>
      </c>
      <c r="F24" s="17"/>
      <c r="G24" s="17">
        <v>31</v>
      </c>
    </row>
    <row r="25" spans="1:7" x14ac:dyDescent="0.25">
      <c r="A25" s="16" t="s">
        <v>6213</v>
      </c>
      <c r="B25" s="17">
        <v>1</v>
      </c>
      <c r="C25" s="17">
        <v>15</v>
      </c>
      <c r="D25" s="17">
        <v>11</v>
      </c>
      <c r="E25" s="17"/>
      <c r="F25" s="17"/>
      <c r="G25" s="17">
        <v>27</v>
      </c>
    </row>
    <row r="26" spans="1:7" x14ac:dyDescent="0.25">
      <c r="A26" s="16" t="s">
        <v>6308</v>
      </c>
      <c r="B26" s="17">
        <v>3</v>
      </c>
      <c r="C26" s="17">
        <v>15</v>
      </c>
      <c r="D26" s="17">
        <v>3</v>
      </c>
      <c r="E26" s="17"/>
      <c r="F26" s="17"/>
      <c r="G26" s="17">
        <v>21</v>
      </c>
    </row>
    <row r="27" spans="1:7" x14ac:dyDescent="0.25">
      <c r="A27" s="16" t="s">
        <v>6508</v>
      </c>
      <c r="B27" s="17">
        <v>1</v>
      </c>
      <c r="C27" s="17"/>
      <c r="D27" s="17">
        <v>3</v>
      </c>
      <c r="E27" s="17"/>
      <c r="F27" s="17"/>
      <c r="G27" s="17">
        <v>4</v>
      </c>
    </row>
    <row r="28" spans="1:7" x14ac:dyDescent="0.25">
      <c r="A28" s="16" t="s">
        <v>6509</v>
      </c>
      <c r="B28" s="17">
        <v>5</v>
      </c>
      <c r="C28" s="17">
        <v>20</v>
      </c>
      <c r="D28" s="17">
        <v>15</v>
      </c>
      <c r="E28" s="17"/>
      <c r="F28" s="17"/>
      <c r="G28" s="17">
        <v>40</v>
      </c>
    </row>
    <row r="29" spans="1:7" x14ac:dyDescent="0.25">
      <c r="A29" s="16" t="s">
        <v>6566</v>
      </c>
      <c r="B29" s="17">
        <v>1</v>
      </c>
      <c r="C29" s="17">
        <v>6</v>
      </c>
      <c r="D29" s="17">
        <v>5</v>
      </c>
      <c r="E29" s="17"/>
      <c r="F29" s="17"/>
      <c r="G29" s="17">
        <v>12</v>
      </c>
    </row>
    <row r="30" spans="1:7" x14ac:dyDescent="0.25">
      <c r="A30" s="15" t="s">
        <v>6190</v>
      </c>
      <c r="B30" s="17">
        <v>200</v>
      </c>
      <c r="C30" s="17">
        <v>723</v>
      </c>
      <c r="D30" s="17">
        <v>508</v>
      </c>
      <c r="E30" s="17">
        <v>1</v>
      </c>
      <c r="F30" s="17">
        <v>9</v>
      </c>
      <c r="G30" s="17">
        <v>1441</v>
      </c>
    </row>
    <row r="31" spans="1:7" x14ac:dyDescent="0.25">
      <c r="A31"/>
    </row>
    <row r="32" spans="1:7" x14ac:dyDescent="0.25">
      <c r="A32"/>
    </row>
    <row r="33" spans="1:1" x14ac:dyDescent="0.25">
      <c r="A33"/>
    </row>
    <row r="34" spans="1:1" x14ac:dyDescent="0.25">
      <c r="A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2026-10-24T11:50:24Z</dcterms:modified>
</cp:coreProperties>
</file>