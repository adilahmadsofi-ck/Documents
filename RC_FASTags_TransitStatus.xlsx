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D8300B3-B03B-4C73-AC68-3287A4B9C94E}" xr6:coauthVersionLast="47" xr6:coauthVersionMax="47" xr10:uidLastSave="{00000000-0000-0000-0000-000000000000}"/>
  <bookViews>
    <workbookView xWindow="-120" yWindow="-120" windowWidth="24240" windowHeight="13020" tabRatio="599" activeTab="2" xr2:uid="{3B4A4B74-8526-405E-95DA-3922D64EB034}"/>
  </bookViews>
  <sheets>
    <sheet name="RC" sheetId="2" r:id="rId1"/>
    <sheet name="FASTag" sheetId="4" r:id="rId2"/>
    <sheet name="FASTag Stock" sheetId="5" r:id="rId3"/>
    <sheet name="Contact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4" i="2" l="1"/>
  <c r="F53" i="4"/>
  <c r="A50" i="4"/>
  <c r="A51" i="4"/>
  <c r="A52" i="4"/>
  <c r="A45" i="4"/>
  <c r="A46" i="4"/>
  <c r="A47" i="4"/>
  <c r="A48" i="4"/>
  <c r="A49" i="4"/>
  <c r="A42" i="4"/>
  <c r="A43" i="4"/>
  <c r="A44" i="4"/>
  <c r="A31" i="2"/>
  <c r="A32" i="2"/>
  <c r="A33" i="2"/>
  <c r="C34" i="2"/>
  <c r="A39" i="4"/>
  <c r="A40" i="4"/>
  <c r="A41" i="4"/>
  <c r="A36" i="4"/>
  <c r="A35" i="4"/>
  <c r="A26" i="2"/>
  <c r="A28" i="2"/>
  <c r="A29" i="2"/>
  <c r="A30" i="2"/>
  <c r="A34" i="4"/>
  <c r="A37" i="4"/>
  <c r="A38" i="4"/>
  <c r="A53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34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<sst xmlns="http://schemas.openxmlformats.org/spreadsheetml/2006/main" count="359" uniqueCount="198">
  <si>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</si>
  <si>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</si>
  <si>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</si>
  <si>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</si>
  <si>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</si>
  <si>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</si>
  <si>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</si>
  <si>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</si>
  <si>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</si>
  <si>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</si>
  <si>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</si>
  <si>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</si>
  <si>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</si>
  <si>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</si>
  <si>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</si>
  <si>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</si>
  <si>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</si>
  <si>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</si>
  <si>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</si>
  <si>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</si>
  <si>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</si>
  <si>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</si>
  <si>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</si>
  <si>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</si>
  <si>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</si>
  <si>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</si>
  <si>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</si>
  <si>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</si>
  <si>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</si>
  <si>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</si>
  <si>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</si>
  <si>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</si>
  <si>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</si>
  <si>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</si>
  <si>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</si>
  <si>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</si>
  <si>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</si>
  <si>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</si>
  <si>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</si>
  <si>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</si>
  <si>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</si>
  <si>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</si>
  <si>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</si>
  <si>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</si>
  <si>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</si>
  <si>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</si>
  <si>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</si>
  <si>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</si>
  <si>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</si>
  <si>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</si>
  <si>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</si>
  <si>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</si>
  <si>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</si>
  <si>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</si>
  <si>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</si>
  <si>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</si>
  <si>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</si>
  <si>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</si>
  <si>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</si>
  <si>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</si>
  <si>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</si>
  <si>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</si>
  <si>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</si>
  <si>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</si>
  <si>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</si>
  <si>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</si>
  <si>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</si>
  <si>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</si>
  <si>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</si>
  <si>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</si>
  <si>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</si>
  <si>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</si>
  <si>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</si>
  <si>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</si>
  <si>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</si>
  <si>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</si>
  <si>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</si>
  <si>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</si>
  <si>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</si>
  <si>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</si>
  <si>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</si>
  <si>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</si>
  <si>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</si>
  <si>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</si>
  <si>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</si>
  <si>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</si>
  <si>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</si>
  <si>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</si>
  <si>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</si>
  <si>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</si>
  <si>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</si>
  <si>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</si>
  <si>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</si>
  <si>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</si>
  <si>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</si>
  <si>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</si>
  <si>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</si>
  <si>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</si>
  <si>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</si>
  <si>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</si>
  <si>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</si>
  <si>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</si>
  <si>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</si>
  <si>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</si>
  <si>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</si>
  <si>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</si>
  <si>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</si>
  <si>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</si>
  <si>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</si>
  <si>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</si>
  <si>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</si>
  <si>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</si>
  <si>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</si>
  <si>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</si>
  <si>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</si>
  <si>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</si>
  <si>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</si>
  <si>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</si>
  <si>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</si>
  <si>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</si>
  <si>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</si>
  <si>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</si>
  <si>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</si>
  <si>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</si>
  <si>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</si>
  <si>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</si>
  <si>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</si>
  <si>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</si>
  <si>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</si>
  <si>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</si>
  <si>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</si>
  <si>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</si>
  <si>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</si>
  <si>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</si>
  <si>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</si>
  <si>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</si>
  <si>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</si>
  <si>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</si>
  <si>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</si>
  <si>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</si>
  <si>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</si>
  <si>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</si>
  <si>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</si>
  <si>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</si>
  <si>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</si>
  <si>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</si>
  <si>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</si>
  <si>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</si>
  <si>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</si>
  <si>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</si>
  <si>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</si>
  <si>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</si>
  <si>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</si>
  <si>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</si>
  <si>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</si>
  <si>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</si>
  <si>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</si>
  <si>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</si>
  <si>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</si>
  <si>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</si>
  <si>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</si>
  <si>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</si>
  <si>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</si>
  <si>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</si>
  <si>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</si>
  <si>
    <t>608268-005-0006891</t>
  </si>
  <si>
    <t>608268-005-0006917</t>
  </si>
  <si>
    <t>608268-005-0006868</t>
  </si>
  <si>
    <t>608268-005-0006869</t>
  </si>
  <si>
    <t>tfr</t>
  </si>
  <si>
    <t>Send from other Dealer</t>
  </si>
  <si>
    <t>608268-003-0040519</t>
  </si>
  <si>
    <t>608268-003-0040718</t>
  </si>
  <si>
    <t>Order 7</t>
  </si>
  <si>
    <t>607529-020-0259158</t>
  </si>
  <si>
    <t>607529-020-0259182</t>
  </si>
  <si>
    <t>608268-003-0040719</t>
  </si>
  <si>
    <t>607529-020-0259133</t>
  </si>
  <si>
    <t>607529-020-0259148</t>
  </si>
  <si>
    <t>608268-003-0040899</t>
  </si>
  <si>
    <t>608268-003-0040478</t>
  </si>
  <si>
    <t>608268-003-0040517</t>
  </si>
  <si>
    <t>608268-003-0040905</t>
  </si>
  <si>
    <t>608268-003-0040928</t>
  </si>
  <si>
    <t>607529-020-0259149</t>
  </si>
  <si>
    <t>607529-020-0259157</t>
  </si>
  <si>
    <t>607529-020-0258829</t>
  </si>
  <si>
    <t>607529-020-0258830</t>
  </si>
  <si>
    <t>334251 - 334451</t>
  </si>
  <si>
    <t>Opening Stock</t>
  </si>
  <si>
    <t>Closing Stock</t>
  </si>
  <si>
    <t xml:space="preserve">Activated </t>
  </si>
  <si>
    <t>Order Received</t>
  </si>
  <si>
    <t>Order Shift</t>
  </si>
  <si>
    <t>ARENA SRINAGAR</t>
  </si>
  <si>
    <t>ANANTNAG</t>
  </si>
  <si>
    <t>NEXA SRINAGAR</t>
  </si>
  <si>
    <t>Tags Utilised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</si>
</sst>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  <font>
      <sz val="11"/>
      <color theme="1"/>
      <name val="Bahnschrift"/>
      <family val="2"/>
    </font>
    <font>
      <b/>
      <sz val="48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14" fontId="0" fillId="0" borderId="0" xfId="0" applyNumberFormat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6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34" headerRowDxfId="36" dataDxfId="35">
  <autoFilter ref="A2:I34" xr:uid="{CA5C59B6-CE46-4417-A1E1-57B514AE8648}"/>
  <sortState xmlns:xlrd2="http://schemas.microsoft.com/office/spreadsheetml/2017/richdata2" ref="A3:I34">
    <sortCondition ref="H2:H34"/>
  </sortState>
  <tableColumns count="9">
    <tableColumn id="1" xr3:uid="{F980782F-9663-4F3B-A4B5-72E20C146CA6}" name="S.No." dataDxfId="34" totalsRowDxfId="33">
      <calculatedColumnFormula>ROW()-2</calculatedColumnFormula>
    </tableColumn>
    <tableColumn id="4" xr3:uid="{41F3F928-C5F4-479D-8794-38082DFADE30}" name="Serial" dataDxfId="32" totalsRowDxfId="31"/>
    <tableColumn id="9" xr3:uid="{6551D741-ECEA-463A-A282-9E465AC65D87}" name="RTO Rc Rec" dataDxfId="30" totalsRowDxfId="29"/>
    <tableColumn id="10" xr3:uid="{27CFA8EB-0A9B-4187-B61B-83F48466BC43}" name="Date" dataDxfId="28" totalsRowDxfId="27"/>
    <tableColumn id="2" xr3:uid="{24379A66-65E1-4060-BC95-F052DEABD945}" name="Card Number" dataDxfId="26" totalsRowDxfId="25"/>
    <tableColumn id="3" xr3:uid="{00D6D077-3271-44BD-842C-3A558BFFF932}" name="Qty" dataDxfId="24" totalsRowDxfId="23"/>
    <tableColumn id="11" xr3:uid="{2DE97642-A764-4067-B347-A03241193D5E}" name="Channel" dataDxfId="22" totalsRowDxfId="21"/>
    <tableColumn id="5" xr3:uid="{BE80955F-5DAA-4ECC-BB79-381C74EB834B}" name="Date2" dataDxfId="20" totalsRowDxfId="19"/>
    <tableColumn id="6" xr3:uid="{DD8A9FCE-3112-4052-BE00-322420D04B3B}" name="Status" dataDxfId="18" totalsRow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53" totalsRowShown="0" headerRowDxfId="16" dataDxfId="15">
  <autoFilter ref="A2:H53" xr:uid="{2EA62A60-EA8D-4084-B62D-130D765E6A2D}"/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9EA76-FE33-4EDA-96A5-FB5AB6842877}" name="Arena" displayName="Arena" ref="A2:H18" totalsRowShown="0" headerRowDxfId="66" dataDxfId="65">
  <autoFilter ref="A2:H18" xr:uid="{6B19EA76-FE33-4EDA-96A5-FB5AB6842877}"/>
  <tableColumns count="8">
    <tableColumn id="1" xr3:uid="{205B1937-36C2-4A79-ADEE-67B939CC6350}" name="Dated" dataDxfId="64"/>
    <tableColumn id="2" xr3:uid="{FC4A4194-EC0B-4123-AA2A-047F801393F9}" name="Opening Stock" dataDxfId="63"/>
    <tableColumn id="3" xr3:uid="{B9BA259A-905C-4F48-9EF9-1D3A771CDF0D}" name="Activated " dataDxfId="62"/>
    <tableColumn id="4" xr3:uid="{6B90C7CC-E86F-4D69-8B7A-1A5106E7671C}" name="Order Received" dataDxfId="61"/>
    <tableColumn id="5" xr3:uid="{52A7379A-F21F-428A-AC09-8DDD0314565C}" name="Closing Stock" dataDxfId="60"/>
    <tableColumn id="6" xr3:uid="{2D5B9A13-3A69-4B89-9385-0118C6E503AA}" name="Order Shift" dataDxfId="59"/>
    <tableColumn id="8" xr3:uid="{7A6C60CE-7C65-462E-936E-BEBFB199EEEA}" name="Tags Utilised" dataDxfId="58"/>
    <tableColumn id="7" xr3:uid="{3B8303E5-7229-40E9-B595-7FD79C903530}" name="Remarks" dataDxfId="5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BFC800-1EAF-4967-B61B-9184746587CB}" name="Table46" displayName="Table46" ref="K2:R18" totalsRowShown="0" headerRowDxfId="56" dataDxfId="55">
  <autoFilter ref="K2:R18" xr:uid="{F5BFC800-1EAF-4967-B61B-9184746587CB}"/>
  <tableColumns count="8">
    <tableColumn id="1" xr3:uid="{EE8E16B4-53D2-438F-BDFF-22C4417244D7}" name="Dated" dataDxfId="54"/>
    <tableColumn id="2" xr3:uid="{4ED05A2F-B065-41B5-B1FC-755636A3BA21}" name="Opening Stock" dataDxfId="53"/>
    <tableColumn id="3" xr3:uid="{57285520-2C9E-4091-953B-03FBAFD5574E}" name="Activated " dataDxfId="52"/>
    <tableColumn id="4" xr3:uid="{26808A5F-3F95-45FD-91EE-BFADD8DB9C6A}" name="Order Received" dataDxfId="51"/>
    <tableColumn id="5" xr3:uid="{A95C8869-A6DD-4A00-8782-9276336A5840}" name="Closing Stock" dataDxfId="50"/>
    <tableColumn id="6" xr3:uid="{F683981E-ECFB-47E9-88E2-60A6694123E4}" name="Order Shift" dataDxfId="49"/>
    <tableColumn id="9" xr3:uid="{4862D1DC-BC5E-473F-B5F4-E4EDDBFBAEA8}" name="Tags Utilised" dataDxfId="48"/>
    <tableColumn id="7" xr3:uid="{59E58FF5-FBE8-4EA3-8C27-FDBB5D8347D8}" name="Remarks" dataDxfId="4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6732A9-DC14-4F77-B928-B2EA21A17DE3}" name="Table467" displayName="Table467" ref="U2:AB18" totalsRowShown="0" headerRowDxfId="46" dataDxfId="45">
  <autoFilter ref="U2:AB18" xr:uid="{C16732A9-DC14-4F77-B928-B2EA21A17DE3}"/>
  <tableColumns count="8">
    <tableColumn id="1" xr3:uid="{863EE3B3-D99D-40AA-9A97-8B87E908A619}" name="Dated" dataDxfId="44"/>
    <tableColumn id="2" xr3:uid="{7EBF6231-0A46-4C5A-8F44-07F6E8D58BD8}" name="Opening Stock" dataDxfId="43"/>
    <tableColumn id="3" xr3:uid="{7302BA2D-23E3-4355-A732-13358849E25E}" name="Activated " dataDxfId="42"/>
    <tableColumn id="4" xr3:uid="{C353FB1F-2706-4110-9F4C-867233885BE5}" name="Order Received" dataDxfId="41"/>
    <tableColumn id="5" xr3:uid="{1C608AFD-D32B-49BA-B588-B75035E109DA}" name="Closing Stock" dataDxfId="40"/>
    <tableColumn id="6" xr3:uid="{FF5D1709-231D-4967-81E2-C12033E82768}" name="Order Shift" dataDxfId="39"/>
    <tableColumn id="9" xr3:uid="{ABB4B85D-962C-4A1F-8D08-7E53D211DBB3}" name="Tags Utilised" dataDxfId="38"/>
    <tableColumn id="7" xr3:uid="{918E2430-DED3-4A6B-A818-8CD1C7AAFAEA}" name="Remarks" dataDxfId="3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34"/>
  <sheetViews>
    <sheetView topLeftCell="A25" workbookViewId="0">
      <selection activeCell="F34" sqref="F34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2" t="s">
        <v>37</v>
      </c>
      <c r="B1" s="12"/>
      <c r="C1" s="12"/>
      <c r="D1" s="12"/>
      <c r="E1" s="13"/>
      <c r="F1" s="13"/>
      <c r="G1" s="13"/>
      <c r="H1" s="13"/>
      <c r="I1" s="13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34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>ROW()-2</f>
        <v>30</v>
      </c>
      <c r="B32" s="4"/>
      <c r="C32" s="4"/>
      <c r="D32" s="5"/>
      <c r="E32" s="4" t="s">
        <v>188</v>
      </c>
      <c r="F32" s="4">
        <v>200</v>
      </c>
      <c r="G32" s="4" t="s">
        <v>30</v>
      </c>
      <c r="H32" s="5">
        <v>46205</v>
      </c>
      <c r="I32" s="4" t="s">
        <v>72</v>
      </c>
    </row>
    <row r="33" spans="1:9" ht="15.75" x14ac:dyDescent="0.25">
      <c r="A33" s="4">
        <f>ROW()-2</f>
        <v>31</v>
      </c>
      <c r="B33" s="4"/>
      <c r="C33" s="4"/>
      <c r="D33" s="5"/>
      <c r="E33" s="4"/>
      <c r="F33" s="4"/>
      <c r="G33" s="4"/>
      <c r="H33" s="5"/>
      <c r="I33" s="4"/>
    </row>
    <row r="34" spans="1:9" ht="15.75" x14ac:dyDescent="0.25">
      <c r="A34" s="4">
        <f t="shared" si="0"/>
        <v>32</v>
      </c>
      <c r="B34" s="7" t="s">
        <v>153</v>
      </c>
      <c r="C34" s="7">
        <f>SUM(C4:C30)</f>
        <v>4447</v>
      </c>
      <c r="D34" s="4"/>
      <c r="E34" s="7" t="s">
        <v>153</v>
      </c>
      <c r="F34" s="7">
        <f>SUM(F3:F32)</f>
        <v>3442</v>
      </c>
      <c r="G34" s="4"/>
      <c r="H34" s="5"/>
      <c r="I34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54"/>
  <sheetViews>
    <sheetView topLeftCell="A37" workbookViewId="0">
      <selection activeCell="F56" sqref="F56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4" t="s">
        <v>8</v>
      </c>
      <c r="B1" s="14"/>
      <c r="C1" s="14"/>
      <c r="D1" s="14"/>
      <c r="E1" s="14"/>
      <c r="F1" s="14"/>
      <c r="G1" s="14"/>
      <c r="H1" s="14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53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150</v>
      </c>
      <c r="C35" s="6" t="s">
        <v>150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>ROW()-2</f>
        <v>34</v>
      </c>
      <c r="B36" s="6" t="s">
        <v>151</v>
      </c>
      <c r="C36" s="6" t="s">
        <v>152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131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131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ref="A39:A44" si="2">ROW()-2</f>
        <v>37</v>
      </c>
      <c r="B39" s="6" t="s">
        <v>158</v>
      </c>
      <c r="C39" s="6" t="s">
        <v>157</v>
      </c>
      <c r="D39" s="6" t="s">
        <v>131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2"/>
        <v>38</v>
      </c>
      <c r="B40" s="6" t="s">
        <v>165</v>
      </c>
      <c r="C40" s="6" t="s">
        <v>166</v>
      </c>
      <c r="D40" s="6" t="s">
        <v>169</v>
      </c>
      <c r="E40" s="4" t="s">
        <v>16</v>
      </c>
      <c r="F40" s="4">
        <v>27</v>
      </c>
      <c r="G40" s="5">
        <v>46196</v>
      </c>
      <c r="H40" s="4" t="s">
        <v>170</v>
      </c>
    </row>
    <row r="41" spans="1:8" ht="15.75" x14ac:dyDescent="0.25">
      <c r="A41" s="4">
        <f t="shared" si="2"/>
        <v>39</v>
      </c>
      <c r="B41" s="6" t="s">
        <v>167</v>
      </c>
      <c r="C41" s="6" t="s">
        <v>168</v>
      </c>
      <c r="D41" s="6" t="s">
        <v>169</v>
      </c>
      <c r="E41" s="4" t="s">
        <v>16</v>
      </c>
      <c r="F41" s="4">
        <v>2</v>
      </c>
      <c r="G41" s="5">
        <v>46196</v>
      </c>
      <c r="H41" s="4" t="s">
        <v>170</v>
      </c>
    </row>
    <row r="42" spans="1:8" ht="15.75" x14ac:dyDescent="0.25">
      <c r="A42" s="4">
        <f t="shared" si="2"/>
        <v>40</v>
      </c>
      <c r="B42" s="6" t="s">
        <v>171</v>
      </c>
      <c r="C42" s="6" t="s">
        <v>172</v>
      </c>
      <c r="D42" s="6" t="s">
        <v>173</v>
      </c>
      <c r="E42" s="4" t="s">
        <v>16</v>
      </c>
      <c r="F42" s="4">
        <v>200</v>
      </c>
      <c r="G42" s="5">
        <v>46205</v>
      </c>
      <c r="H42" s="4"/>
    </row>
    <row r="43" spans="1:8" ht="15.75" x14ac:dyDescent="0.25">
      <c r="A43" s="4">
        <f t="shared" si="2"/>
        <v>41</v>
      </c>
      <c r="B43" s="6" t="s">
        <v>174</v>
      </c>
      <c r="C43" s="6" t="s">
        <v>175</v>
      </c>
      <c r="D43" s="6" t="s">
        <v>173</v>
      </c>
      <c r="E43" s="4" t="s">
        <v>16</v>
      </c>
      <c r="F43" s="4">
        <v>25</v>
      </c>
      <c r="G43" s="5">
        <v>46205</v>
      </c>
      <c r="H43" s="4"/>
    </row>
    <row r="44" spans="1:8" ht="15.75" x14ac:dyDescent="0.25">
      <c r="A44" s="4">
        <f t="shared" si="2"/>
        <v>42</v>
      </c>
      <c r="B44" s="6" t="s">
        <v>176</v>
      </c>
      <c r="C44" s="6" t="s">
        <v>179</v>
      </c>
      <c r="D44" s="6" t="s">
        <v>173</v>
      </c>
      <c r="E44" s="4" t="s">
        <v>13</v>
      </c>
      <c r="F44" s="4">
        <v>185</v>
      </c>
      <c r="G44" s="5">
        <v>46205</v>
      </c>
      <c r="H44" s="4"/>
    </row>
    <row r="45" spans="1:8" ht="15.75" x14ac:dyDescent="0.25">
      <c r="A45" s="4">
        <f t="shared" ref="A45:A52" si="3">ROW()-2</f>
        <v>43</v>
      </c>
      <c r="B45" s="6" t="s">
        <v>177</v>
      </c>
      <c r="C45" s="6" t="s">
        <v>178</v>
      </c>
      <c r="D45" s="6" t="s">
        <v>173</v>
      </c>
      <c r="E45" s="4" t="s">
        <v>13</v>
      </c>
      <c r="F45" s="4">
        <v>15</v>
      </c>
      <c r="G45" s="5">
        <v>46205</v>
      </c>
      <c r="H45" s="4"/>
    </row>
    <row r="46" spans="1:8" ht="15.75" x14ac:dyDescent="0.25">
      <c r="A46" s="4">
        <f t="shared" si="3"/>
        <v>44</v>
      </c>
      <c r="B46" s="6" t="s">
        <v>180</v>
      </c>
      <c r="C46" s="6" t="s">
        <v>181</v>
      </c>
      <c r="D46" s="6" t="s">
        <v>173</v>
      </c>
      <c r="E46" s="4" t="s">
        <v>17</v>
      </c>
      <c r="F46" s="4">
        <v>41</v>
      </c>
      <c r="G46" s="5">
        <v>46205</v>
      </c>
      <c r="H46" s="4"/>
    </row>
    <row r="47" spans="1:8" ht="15.75" x14ac:dyDescent="0.25">
      <c r="A47" s="4">
        <f t="shared" si="3"/>
        <v>45</v>
      </c>
      <c r="B47" s="6" t="s">
        <v>182</v>
      </c>
      <c r="C47" s="6" t="s">
        <v>183</v>
      </c>
      <c r="D47" s="6" t="s">
        <v>173</v>
      </c>
      <c r="E47" s="4" t="s">
        <v>17</v>
      </c>
      <c r="F47" s="4">
        <v>24</v>
      </c>
      <c r="G47" s="5">
        <v>46205</v>
      </c>
      <c r="H47" s="4"/>
    </row>
    <row r="48" spans="1:8" ht="15.75" x14ac:dyDescent="0.25">
      <c r="A48" s="4">
        <f t="shared" si="3"/>
        <v>46</v>
      </c>
      <c r="B48" s="6" t="s">
        <v>184</v>
      </c>
      <c r="C48" s="6" t="s">
        <v>185</v>
      </c>
      <c r="D48" s="6" t="s">
        <v>173</v>
      </c>
      <c r="E48" s="4" t="s">
        <v>17</v>
      </c>
      <c r="F48" s="4">
        <v>8</v>
      </c>
      <c r="G48" s="5">
        <v>46205</v>
      </c>
      <c r="H48" s="4"/>
    </row>
    <row r="49" spans="1:8" ht="15.75" x14ac:dyDescent="0.25">
      <c r="A49" s="4">
        <f t="shared" si="3"/>
        <v>47</v>
      </c>
      <c r="B49" s="6" t="s">
        <v>186</v>
      </c>
      <c r="C49" s="6" t="s">
        <v>187</v>
      </c>
      <c r="D49" s="6" t="s">
        <v>173</v>
      </c>
      <c r="E49" s="4" t="s">
        <v>17</v>
      </c>
      <c r="F49" s="4">
        <v>2</v>
      </c>
      <c r="G49" s="5">
        <v>46205</v>
      </c>
      <c r="H49" s="4"/>
    </row>
    <row r="50" spans="1:8" ht="15.75" x14ac:dyDescent="0.25">
      <c r="A50" s="4">
        <f t="shared" si="3"/>
        <v>48</v>
      </c>
      <c r="B50" s="6"/>
      <c r="C50" s="6"/>
      <c r="D50" s="6"/>
      <c r="E50" s="4"/>
      <c r="F50" s="4"/>
      <c r="G50" s="5"/>
      <c r="H50" s="4"/>
    </row>
    <row r="51" spans="1:8" ht="15.75" x14ac:dyDescent="0.25">
      <c r="A51" s="4">
        <f t="shared" si="3"/>
        <v>49</v>
      </c>
      <c r="B51" s="6"/>
      <c r="C51" s="6"/>
      <c r="D51" s="6"/>
      <c r="E51" s="4"/>
      <c r="F51" s="4"/>
      <c r="G51" s="5"/>
      <c r="H51" s="4"/>
    </row>
    <row r="52" spans="1:8" ht="15.75" x14ac:dyDescent="0.25">
      <c r="A52" s="4">
        <f t="shared" si="3"/>
        <v>50</v>
      </c>
      <c r="B52" s="6"/>
      <c r="C52" s="6"/>
      <c r="D52" s="6"/>
      <c r="E52" s="4"/>
      <c r="F52" s="4"/>
      <c r="G52" s="5"/>
      <c r="H52" s="4"/>
    </row>
    <row r="53" spans="1:8" ht="15.75" x14ac:dyDescent="0.25">
      <c r="A53" s="4">
        <f t="shared" si="1"/>
        <v>51</v>
      </c>
      <c r="B53" s="6"/>
      <c r="C53" s="6"/>
      <c r="D53" s="6"/>
      <c r="E53" s="7" t="s">
        <v>153</v>
      </c>
      <c r="F53" s="7">
        <f>SUM(F3:F49)</f>
        <v>2944</v>
      </c>
      <c r="G53" s="4"/>
      <c r="H53" s="4"/>
    </row>
    <row r="54" spans="1:8" x14ac:dyDescent="0.25">
      <c r="C54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F3EDB-09FD-4268-A85C-2BE01E602CBE}">
  <dimension ref="A1:AB18"/>
  <sheetViews>
    <sheetView tabSelected="1" zoomScaleNormal="100" workbookViewId="0">
      <selection activeCell="F10" sqref="F10"/>
    </sheetView>
  </sheetViews>
  <sheetFormatPr defaultRowHeight="15" x14ac:dyDescent="0.25"/>
  <cols>
    <col min="1" max="1" width="13.42578125" customWidth="1"/>
    <col min="2" max="2" width="18.42578125" bestFit="1" customWidth="1"/>
    <col min="3" max="3" width="17.28515625" customWidth="1"/>
    <col min="4" max="4" width="20.140625" customWidth="1"/>
    <col min="5" max="5" width="19.28515625" customWidth="1"/>
    <col min="6" max="7" width="18" customWidth="1"/>
    <col min="8" max="8" width="26" customWidth="1"/>
    <col min="11" max="11" width="15" customWidth="1"/>
    <col min="12" max="12" width="19.140625" customWidth="1"/>
    <col min="13" max="13" width="17.85546875" customWidth="1"/>
    <col min="14" max="14" width="19.140625" customWidth="1"/>
    <col min="15" max="15" width="18.28515625" customWidth="1"/>
    <col min="16" max="17" width="18.42578125" customWidth="1"/>
    <col min="18" max="18" width="21.42578125" customWidth="1"/>
    <col min="21" max="21" width="12.85546875" customWidth="1"/>
    <col min="22" max="22" width="19.42578125" customWidth="1"/>
    <col min="23" max="23" width="16.28515625" customWidth="1"/>
    <col min="24" max="24" width="20.5703125" customWidth="1"/>
    <col min="25" max="25" width="17.7109375" customWidth="1"/>
    <col min="26" max="26" width="18.7109375" customWidth="1"/>
    <col min="27" max="27" width="17.42578125" customWidth="1"/>
    <col min="28" max="28" width="22.28515625" customWidth="1"/>
  </cols>
  <sheetData>
    <row r="1" spans="1:28" ht="58.5" x14ac:dyDescent="0.7">
      <c r="A1" s="10" t="s">
        <v>194</v>
      </c>
      <c r="B1" s="11"/>
      <c r="C1" s="11"/>
      <c r="D1" s="11"/>
      <c r="E1" s="11"/>
      <c r="F1" s="11"/>
      <c r="G1" s="11"/>
      <c r="H1" s="11"/>
      <c r="K1" s="10" t="s">
        <v>195</v>
      </c>
      <c r="L1" s="11"/>
      <c r="M1" s="11"/>
      <c r="N1" s="11"/>
      <c r="O1" s="11"/>
      <c r="P1" s="11"/>
      <c r="Q1" s="11"/>
      <c r="R1" s="11"/>
      <c r="U1" s="10" t="s">
        <v>196</v>
      </c>
      <c r="V1" s="10"/>
      <c r="W1" s="10"/>
      <c r="X1" s="10"/>
      <c r="Y1" s="10"/>
      <c r="Z1" s="10"/>
      <c r="AA1" s="10"/>
      <c r="AB1" s="10"/>
    </row>
    <row r="2" spans="1:28" x14ac:dyDescent="0.25">
      <c r="A2" s="1" t="s">
        <v>14</v>
      </c>
      <c r="B2" s="1" t="s">
        <v>189</v>
      </c>
      <c r="C2" s="1" t="s">
        <v>191</v>
      </c>
      <c r="D2" s="1" t="s">
        <v>192</v>
      </c>
      <c r="E2" s="1" t="s">
        <v>190</v>
      </c>
      <c r="F2" s="1" t="s">
        <v>193</v>
      </c>
      <c r="G2" s="1" t="s">
        <v>197</v>
      </c>
      <c r="H2" s="1" t="s">
        <v>15</v>
      </c>
      <c r="K2" s="1" t="s">
        <v>14</v>
      </c>
      <c r="L2" s="1" t="s">
        <v>189</v>
      </c>
      <c r="M2" s="1" t="s">
        <v>191</v>
      </c>
      <c r="N2" s="1" t="s">
        <v>192</v>
      </c>
      <c r="O2" s="1" t="s">
        <v>190</v>
      </c>
      <c r="P2" s="1" t="s">
        <v>193</v>
      </c>
      <c r="Q2" s="1" t="s">
        <v>197</v>
      </c>
      <c r="R2" s="1" t="s">
        <v>15</v>
      </c>
      <c r="U2" s="1" t="s">
        <v>14</v>
      </c>
      <c r="V2" s="1" t="s">
        <v>189</v>
      </c>
      <c r="W2" s="1" t="s">
        <v>191</v>
      </c>
      <c r="X2" s="1" t="s">
        <v>192</v>
      </c>
      <c r="Y2" s="1" t="s">
        <v>190</v>
      </c>
      <c r="Z2" s="1" t="s">
        <v>193</v>
      </c>
      <c r="AA2" s="1" t="s">
        <v>197</v>
      </c>
      <c r="AB2" s="1" t="s">
        <v>15</v>
      </c>
    </row>
    <row r="3" spans="1:28" x14ac:dyDescent="0.25">
      <c r="A3" s="9">
        <v>46205</v>
      </c>
      <c r="B3" s="1">
        <v>0</v>
      </c>
      <c r="C3" s="1">
        <v>129</v>
      </c>
      <c r="D3" s="1">
        <v>200</v>
      </c>
      <c r="E3" s="1">
        <v>200</v>
      </c>
      <c r="F3" s="1"/>
      <c r="G3" s="1">
        <v>129</v>
      </c>
      <c r="H3" s="1"/>
      <c r="K3" s="9">
        <v>46205</v>
      </c>
      <c r="L3" s="1">
        <v>0</v>
      </c>
      <c r="M3" s="1">
        <v>239</v>
      </c>
      <c r="N3" s="1">
        <v>220</v>
      </c>
      <c r="O3" s="1">
        <v>220</v>
      </c>
      <c r="P3" s="1"/>
      <c r="Q3" s="1">
        <v>239</v>
      </c>
      <c r="R3" s="1"/>
      <c r="U3" s="9">
        <v>46205</v>
      </c>
      <c r="V3" s="1">
        <v>0</v>
      </c>
      <c r="W3" s="1">
        <v>1920</v>
      </c>
      <c r="X3" s="1">
        <v>75</v>
      </c>
      <c r="Y3" s="1">
        <v>75</v>
      </c>
      <c r="Z3" s="1"/>
      <c r="AA3" s="1"/>
      <c r="AB3" s="1"/>
    </row>
    <row r="4" spans="1:28" x14ac:dyDescent="0.25">
      <c r="A4" s="9"/>
      <c r="B4" s="1"/>
      <c r="C4" s="1"/>
      <c r="D4" s="1"/>
      <c r="E4" s="1"/>
      <c r="F4" s="1"/>
      <c r="G4" s="1"/>
      <c r="H4" s="1"/>
      <c r="K4" s="9"/>
      <c r="L4" s="1"/>
      <c r="M4" s="1"/>
      <c r="N4" s="1"/>
      <c r="O4" s="1"/>
      <c r="P4" s="1"/>
      <c r="Q4" s="1"/>
      <c r="R4" s="1"/>
      <c r="U4" s="9"/>
      <c r="V4" s="1"/>
      <c r="W4" s="1"/>
      <c r="X4" s="1"/>
      <c r="Y4" s="1"/>
      <c r="Z4" s="1"/>
      <c r="AA4" s="1"/>
      <c r="AB4" s="1"/>
    </row>
    <row r="5" spans="1:28" x14ac:dyDescent="0.25">
      <c r="A5" s="9"/>
      <c r="B5" s="1"/>
      <c r="C5" s="1"/>
      <c r="D5" s="1"/>
      <c r="E5" s="1"/>
      <c r="F5" s="1"/>
      <c r="G5" s="1"/>
      <c r="H5" s="1"/>
      <c r="K5" s="9"/>
      <c r="L5" s="1"/>
      <c r="M5" s="1"/>
      <c r="N5" s="1"/>
      <c r="O5" s="1"/>
      <c r="P5" s="1"/>
      <c r="Q5" s="1"/>
      <c r="R5" s="1"/>
      <c r="U5" s="9"/>
      <c r="V5" s="1"/>
      <c r="W5" s="1"/>
      <c r="X5" s="1"/>
      <c r="Y5" s="1"/>
      <c r="Z5" s="1"/>
      <c r="AA5" s="1"/>
      <c r="AB5" s="1"/>
    </row>
    <row r="6" spans="1:28" x14ac:dyDescent="0.25">
      <c r="A6" s="9"/>
      <c r="B6" s="1"/>
      <c r="C6" s="1"/>
      <c r="D6" s="1"/>
      <c r="E6" s="1"/>
      <c r="F6" s="1"/>
      <c r="G6" s="1"/>
      <c r="H6" s="1"/>
      <c r="K6" s="9"/>
      <c r="L6" s="1"/>
      <c r="M6" s="1"/>
      <c r="N6" s="1"/>
      <c r="O6" s="1"/>
      <c r="P6" s="1"/>
      <c r="Q6" s="1"/>
      <c r="R6" s="1"/>
      <c r="U6" s="9"/>
      <c r="V6" s="1"/>
      <c r="W6" s="1"/>
      <c r="X6" s="1"/>
      <c r="Y6" s="1"/>
      <c r="Z6" s="1"/>
      <c r="AA6" s="1"/>
      <c r="AB6" s="1"/>
    </row>
    <row r="7" spans="1:28" x14ac:dyDescent="0.25">
      <c r="A7" s="9"/>
      <c r="B7" s="1"/>
      <c r="C7" s="1"/>
      <c r="D7" s="1"/>
      <c r="E7" s="1"/>
      <c r="F7" s="1"/>
      <c r="G7" s="1"/>
      <c r="H7" s="1"/>
      <c r="K7" s="9"/>
      <c r="L7" s="1"/>
      <c r="M7" s="1"/>
      <c r="N7" s="1"/>
      <c r="O7" s="1"/>
      <c r="P7" s="1"/>
      <c r="Q7" s="1"/>
      <c r="R7" s="1"/>
      <c r="U7" s="9"/>
      <c r="V7" s="1"/>
      <c r="W7" s="1"/>
      <c r="X7" s="1"/>
      <c r="Y7" s="1"/>
      <c r="Z7" s="1"/>
      <c r="AA7" s="1"/>
      <c r="AB7" s="1"/>
    </row>
    <row r="8" spans="1:28" x14ac:dyDescent="0.25">
      <c r="A8" s="9"/>
      <c r="B8" s="1"/>
      <c r="C8" s="1"/>
      <c r="D8" s="1"/>
      <c r="E8" s="1"/>
      <c r="F8" s="1"/>
      <c r="G8" s="1"/>
      <c r="H8" s="1"/>
      <c r="K8" s="9"/>
      <c r="L8" s="1"/>
      <c r="M8" s="1"/>
      <c r="N8" s="1"/>
      <c r="O8" s="1"/>
      <c r="P8" s="1"/>
      <c r="Q8" s="1"/>
      <c r="R8" s="1"/>
      <c r="U8" s="9"/>
      <c r="V8" s="1"/>
      <c r="W8" s="1"/>
      <c r="X8" s="1"/>
      <c r="Y8" s="1"/>
      <c r="Z8" s="1"/>
      <c r="AA8" s="1"/>
      <c r="AB8" s="1"/>
    </row>
    <row r="9" spans="1:28" x14ac:dyDescent="0.25">
      <c r="A9" s="9"/>
      <c r="B9" s="1"/>
      <c r="C9" s="1"/>
      <c r="D9" s="1"/>
      <c r="E9" s="1"/>
      <c r="F9" s="1"/>
      <c r="G9" s="1"/>
      <c r="H9" s="1"/>
      <c r="K9" s="9"/>
      <c r="L9" s="1"/>
      <c r="M9" s="1"/>
      <c r="N9" s="1"/>
      <c r="O9" s="1"/>
      <c r="P9" s="1"/>
      <c r="Q9" s="1"/>
      <c r="R9" s="1"/>
      <c r="U9" s="9"/>
      <c r="V9" s="1"/>
      <c r="W9" s="1"/>
      <c r="X9" s="1"/>
      <c r="Y9" s="1"/>
      <c r="Z9" s="1"/>
      <c r="AA9" s="1"/>
      <c r="AB9" s="1"/>
    </row>
    <row r="10" spans="1:28" x14ac:dyDescent="0.25">
      <c r="A10" s="9"/>
      <c r="B10" s="1"/>
      <c r="C10" s="1"/>
      <c r="D10" s="1"/>
      <c r="E10" s="1"/>
      <c r="F10" s="1"/>
      <c r="G10" s="1"/>
      <c r="H10" s="1"/>
      <c r="K10" s="9"/>
      <c r="L10" s="1"/>
      <c r="M10" s="1"/>
      <c r="N10" s="1"/>
      <c r="O10" s="1"/>
      <c r="P10" s="1"/>
      <c r="Q10" s="1"/>
      <c r="R10" s="1"/>
      <c r="U10" s="9"/>
      <c r="V10" s="1"/>
      <c r="W10" s="1"/>
      <c r="X10" s="1"/>
      <c r="Y10" s="1"/>
      <c r="Z10" s="1"/>
      <c r="AA10" s="1"/>
      <c r="AB10" s="1"/>
    </row>
    <row r="11" spans="1:28" x14ac:dyDescent="0.25">
      <c r="A11" s="9"/>
      <c r="B11" s="1"/>
      <c r="C11" s="1"/>
      <c r="D11" s="1"/>
      <c r="E11" s="1"/>
      <c r="F11" s="1"/>
      <c r="G11" s="1"/>
      <c r="H11" s="1"/>
      <c r="K11" s="9"/>
      <c r="L11" s="1"/>
      <c r="M11" s="1"/>
      <c r="N11" s="1"/>
      <c r="O11" s="1"/>
      <c r="P11" s="1"/>
      <c r="Q11" s="1"/>
      <c r="R11" s="1"/>
      <c r="U11" s="9"/>
      <c r="V11" s="1"/>
      <c r="W11" s="1"/>
      <c r="X11" s="1"/>
      <c r="Y11" s="1"/>
      <c r="Z11" s="1"/>
      <c r="AA11" s="1"/>
      <c r="AB11" s="1"/>
    </row>
    <row r="12" spans="1:28" x14ac:dyDescent="0.25">
      <c r="A12" s="9"/>
      <c r="B12" s="1"/>
      <c r="C12" s="1"/>
      <c r="D12" s="1"/>
      <c r="E12" s="1"/>
      <c r="F12" s="1"/>
      <c r="G12" s="1"/>
      <c r="H12" s="1"/>
      <c r="K12" s="9"/>
      <c r="L12" s="1"/>
      <c r="M12" s="1"/>
      <c r="N12" s="1"/>
      <c r="O12" s="1"/>
      <c r="P12" s="1"/>
      <c r="Q12" s="1"/>
      <c r="R12" s="1"/>
      <c r="U12" s="9"/>
      <c r="V12" s="1"/>
      <c r="W12" s="1"/>
      <c r="X12" s="1"/>
      <c r="Y12" s="1"/>
      <c r="Z12" s="1"/>
      <c r="AA12" s="1"/>
      <c r="AB12" s="1"/>
    </row>
    <row r="13" spans="1:28" x14ac:dyDescent="0.25">
      <c r="A13" s="9"/>
      <c r="B13" s="1"/>
      <c r="C13" s="1"/>
      <c r="D13" s="1"/>
      <c r="E13" s="1"/>
      <c r="F13" s="1"/>
      <c r="G13" s="1"/>
      <c r="H13" s="1"/>
      <c r="K13" s="9"/>
      <c r="L13" s="1"/>
      <c r="M13" s="1"/>
      <c r="N13" s="1"/>
      <c r="O13" s="1"/>
      <c r="P13" s="1"/>
      <c r="Q13" s="1"/>
      <c r="R13" s="1"/>
      <c r="U13" s="9"/>
      <c r="V13" s="1"/>
      <c r="W13" s="1"/>
      <c r="X13" s="1"/>
      <c r="Y13" s="1"/>
      <c r="Z13" s="1"/>
      <c r="AA13" s="1"/>
      <c r="AB13" s="1"/>
    </row>
    <row r="14" spans="1:28" x14ac:dyDescent="0.25">
      <c r="A14" s="9"/>
      <c r="B14" s="1"/>
      <c r="C14" s="1"/>
      <c r="D14" s="1"/>
      <c r="E14" s="1"/>
      <c r="F14" s="1"/>
      <c r="G14" s="1"/>
      <c r="H14" s="1"/>
      <c r="K14" s="9"/>
      <c r="L14" s="1"/>
      <c r="M14" s="1"/>
      <c r="N14" s="1"/>
      <c r="O14" s="1"/>
      <c r="P14" s="1"/>
      <c r="Q14" s="1"/>
      <c r="R14" s="1"/>
      <c r="U14" s="9"/>
      <c r="V14" s="1"/>
      <c r="W14" s="1"/>
      <c r="X14" s="1"/>
      <c r="Y14" s="1"/>
      <c r="Z14" s="1"/>
      <c r="AA14" s="1"/>
      <c r="AB14" s="1"/>
    </row>
    <row r="15" spans="1:28" x14ac:dyDescent="0.25">
      <c r="A15" s="9"/>
      <c r="B15" s="1"/>
      <c r="C15" s="1"/>
      <c r="D15" s="1"/>
      <c r="E15" s="1"/>
      <c r="F15" s="1"/>
      <c r="G15" s="1"/>
      <c r="H15" s="1"/>
      <c r="K15" s="9"/>
      <c r="L15" s="1"/>
      <c r="M15" s="1"/>
      <c r="N15" s="1"/>
      <c r="O15" s="1"/>
      <c r="P15" s="1"/>
      <c r="Q15" s="1"/>
      <c r="R15" s="1"/>
      <c r="U15" s="9"/>
      <c r="V15" s="1"/>
      <c r="W15" s="1"/>
      <c r="X15" s="1"/>
      <c r="Y15" s="1"/>
      <c r="Z15" s="1"/>
      <c r="AA15" s="1"/>
      <c r="AB15" s="1"/>
    </row>
    <row r="16" spans="1:28" x14ac:dyDescent="0.25">
      <c r="A16" s="9"/>
      <c r="B16" s="1"/>
      <c r="C16" s="1"/>
      <c r="D16" s="1"/>
      <c r="E16" s="1"/>
      <c r="F16" s="1"/>
      <c r="G16" s="1"/>
      <c r="H16" s="1"/>
      <c r="K16" s="9"/>
      <c r="L16" s="1"/>
      <c r="M16" s="1"/>
      <c r="N16" s="1"/>
      <c r="O16" s="1"/>
      <c r="P16" s="1"/>
      <c r="Q16" s="1"/>
      <c r="R16" s="1"/>
      <c r="U16" s="9"/>
      <c r="V16" s="1"/>
      <c r="W16" s="1"/>
      <c r="X16" s="1"/>
      <c r="Y16" s="1"/>
      <c r="Z16" s="1"/>
      <c r="AA16" s="1"/>
      <c r="AB16" s="1"/>
    </row>
    <row r="17" spans="1:28" x14ac:dyDescent="0.25">
      <c r="A17" s="9"/>
      <c r="B17" s="1"/>
      <c r="C17" s="1"/>
      <c r="D17" s="1"/>
      <c r="E17" s="1"/>
      <c r="F17" s="1"/>
      <c r="G17" s="1"/>
      <c r="H17" s="1"/>
      <c r="K17" s="9"/>
      <c r="L17" s="1"/>
      <c r="M17" s="1"/>
      <c r="N17" s="1"/>
      <c r="O17" s="1"/>
      <c r="P17" s="1"/>
      <c r="Q17" s="1"/>
      <c r="R17" s="1"/>
      <c r="U17" s="9"/>
      <c r="V17" s="1"/>
      <c r="W17" s="1"/>
      <c r="X17" s="1"/>
      <c r="Y17" s="1"/>
      <c r="Z17" s="1"/>
      <c r="AA17" s="1"/>
      <c r="AB17" s="1"/>
    </row>
    <row r="18" spans="1:28" x14ac:dyDescent="0.25">
      <c r="A18" s="9"/>
      <c r="B18" s="1"/>
      <c r="C18" s="1"/>
      <c r="D18" s="1"/>
      <c r="E18" s="1"/>
      <c r="F18" s="1"/>
      <c r="G18" s="1"/>
      <c r="H18" s="1"/>
      <c r="K18" s="9"/>
      <c r="L18" s="1"/>
      <c r="M18" s="1"/>
      <c r="N18" s="1"/>
      <c r="O18" s="1"/>
      <c r="P18" s="1"/>
      <c r="Q18" s="1"/>
      <c r="R18" s="1"/>
      <c r="U18" s="9"/>
      <c r="V18" s="1"/>
      <c r="W18" s="1"/>
      <c r="X18" s="1"/>
      <c r="Y18" s="1"/>
      <c r="Z18" s="1"/>
      <c r="AA18" s="1"/>
      <c r="AB18" s="1"/>
    </row>
  </sheetData>
  <mergeCells count="3">
    <mergeCell ref="A1:H1"/>
    <mergeCell ref="K1:R1"/>
    <mergeCell ref="U1:AB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FASTag Stock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2026-07-03T04:31:15Z</dcterms:modified>
</cp:coreProperties>
</file>