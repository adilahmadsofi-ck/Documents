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3DB6C79-86B1-43FA-B74A-EFFE61FD7A16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2" l="1"/>
  <c r="A34" i="2"/>
  <c r="A35" i="2"/>
  <c r="A36" i="2"/>
  <c r="F53" i="4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7" i="2"/>
  <c r="A39" i="4"/>
  <c r="A40" i="4"/>
  <c r="A41" i="4"/>
  <c r="A36" i="4"/>
  <c r="A35" i="4"/>
  <c r="A26" i="2"/>
  <c r="A28" i="2"/>
  <c r="A29" i="2"/>
  <c r="A30" i="2"/>
  <c r="A34" i="4"/>
  <c r="A37" i="4"/>
  <c r="A38" i="4"/>
  <c r="A5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<sst xmlns="http://schemas.openxmlformats.org/spreadsheetml/2006/main" count="361" uniqueCount="199">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</sst>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7" headerRowDxfId="36" dataDxfId="35">
  <autoFilter ref="A2:I37" xr:uid="{CA5C59B6-CE46-4417-A1E1-57B514AE8648}"/>
  <sortState xmlns:xlrd2="http://schemas.microsoft.com/office/spreadsheetml/2017/richdata2" ref="A3:I37">
    <sortCondition ref="H2:H37"/>
  </sortState>
  <tableColumns count="9">
    <tableColumn id="1" xr3:uid="{F980782F-9663-4F3B-A4B5-72E20C146CA6}" name="S.No." dataDxfId="34" totalsRowDxfId="33">
      <calculatedColumnFormula>ROW()-2</calculatedColumnFormula>
    </tableColumn>
    <tableColumn id="4" xr3:uid="{41F3F928-C5F4-479D-8794-38082DFADE30}" name="Serial" dataDxfId="32" totalsRowDxfId="31"/>
    <tableColumn id="9" xr3:uid="{6551D741-ECEA-463A-A282-9E465AC65D87}" name="RTO Rc Rec" dataDxfId="30" totalsRowDxfId="29"/>
    <tableColumn id="10" xr3:uid="{27CFA8EB-0A9B-4187-B61B-83F48466BC43}" name="Date" dataDxfId="28" totalsRowDxfId="27"/>
    <tableColumn id="2" xr3:uid="{24379A66-65E1-4060-BC95-F052DEABD945}" name="Card Number" dataDxfId="26" totalsRowDxfId="25"/>
    <tableColumn id="3" xr3:uid="{00D6D077-3271-44BD-842C-3A558BFFF932}" name="Qty" dataDxfId="24" totalsRowDxfId="23"/>
    <tableColumn id="11" xr3:uid="{2DE97642-A764-4067-B347-A03241193D5E}" name="Channel" dataDxfId="22" totalsRowDxfId="21"/>
    <tableColumn id="5" xr3:uid="{BE80955F-5DAA-4ECC-BB79-381C74EB834B}" name="Date2" dataDxfId="20" totalsRowDxfId="19"/>
    <tableColumn id="6" xr3:uid="{DD8A9FCE-3112-4052-BE00-322420D04B3B}" name="Status" dataDxfId="18" totalsRow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3" totalsRowShown="0" headerRowDxfId="16" dataDxfId="15">
  <autoFilter ref="A2:H53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66" dataDxfId="65">
  <autoFilter ref="A2:H18" xr:uid="{6B19EA76-FE33-4EDA-96A5-FB5AB6842877}"/>
  <tableColumns count="8">
    <tableColumn id="1" xr3:uid="{205B1937-36C2-4A79-ADEE-67B939CC6350}" name="Dated" dataDxfId="64"/>
    <tableColumn id="2" xr3:uid="{FC4A4194-EC0B-4123-AA2A-047F801393F9}" name="Opening Stock" dataDxfId="63"/>
    <tableColumn id="3" xr3:uid="{B9BA259A-905C-4F48-9EF9-1D3A771CDF0D}" name="Activated " dataDxfId="62"/>
    <tableColumn id="4" xr3:uid="{6B90C7CC-E86F-4D69-8B7A-1A5106E7671C}" name="Order Received" dataDxfId="61"/>
    <tableColumn id="5" xr3:uid="{52A7379A-F21F-428A-AC09-8DDD0314565C}" name="Closing Stock" dataDxfId="60"/>
    <tableColumn id="6" xr3:uid="{2D5B9A13-3A69-4B89-9385-0118C6E503AA}" name="Order Shift" dataDxfId="59"/>
    <tableColumn id="8" xr3:uid="{7A6C60CE-7C65-462E-936E-BEBFB199EEEA}" name="Tags Utilised" dataDxfId="58"/>
    <tableColumn id="7" xr3:uid="{3B8303E5-7229-40E9-B595-7FD79C903530}" name="Remarks" dataDxfId="5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56" dataDxfId="55">
  <autoFilter ref="K2:R18" xr:uid="{F5BFC800-1EAF-4967-B61B-9184746587CB}"/>
  <tableColumns count="8">
    <tableColumn id="1" xr3:uid="{EE8E16B4-53D2-438F-BDFF-22C4417244D7}" name="Dated" dataDxfId="54"/>
    <tableColumn id="2" xr3:uid="{4ED05A2F-B065-41B5-B1FC-755636A3BA21}" name="Opening Stock" dataDxfId="53"/>
    <tableColumn id="3" xr3:uid="{57285520-2C9E-4091-953B-03FBAFD5574E}" name="Activated " dataDxfId="52"/>
    <tableColumn id="4" xr3:uid="{26808A5F-3F95-45FD-91EE-BFADD8DB9C6A}" name="Order Received" dataDxfId="51"/>
    <tableColumn id="5" xr3:uid="{A95C8869-A6DD-4A00-8782-9276336A5840}" name="Closing Stock" dataDxfId="50"/>
    <tableColumn id="6" xr3:uid="{F683981E-ECFB-47E9-88E2-60A6694123E4}" name="Order Shift" dataDxfId="49"/>
    <tableColumn id="9" xr3:uid="{4862D1DC-BC5E-473F-B5F4-E4EDDBFBAEA8}" name="Tags Utilised" dataDxfId="48"/>
    <tableColumn id="7" xr3:uid="{59E58FF5-FBE8-4EA3-8C27-FDBB5D8347D8}" name="Remarks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46" dataDxfId="45">
  <autoFilter ref="U2:AB18" xr:uid="{C16732A9-DC14-4F77-B928-B2EA21A17DE3}"/>
  <tableColumns count="8">
    <tableColumn id="1" xr3:uid="{863EE3B3-D99D-40AA-9A97-8B87E908A619}" name="Dated" dataDxfId="44"/>
    <tableColumn id="2" xr3:uid="{7EBF6231-0A46-4C5A-8F44-07F6E8D58BD8}" name="Opening Stock" dataDxfId="43"/>
    <tableColumn id="3" xr3:uid="{7302BA2D-23E3-4355-A732-13358849E25E}" name="Activated " dataDxfId="42"/>
    <tableColumn id="4" xr3:uid="{C353FB1F-2706-4110-9F4C-867233885BE5}" name="Order Received" dataDxfId="41"/>
    <tableColumn id="5" xr3:uid="{1C608AFD-D32B-49BA-B588-B75035E109DA}" name="Closing Stock" dataDxfId="40"/>
    <tableColumn id="6" xr3:uid="{FF5D1709-231D-4967-81E2-C12033E82768}" name="Order Shift" dataDxfId="39"/>
    <tableColumn id="9" xr3:uid="{ABB4B85D-962C-4A1F-8D08-7E53D211DBB3}" name="Tags Utilised" dataDxfId="38"/>
    <tableColumn id="7" xr3:uid="{918E2430-DED3-4A6B-A818-8CD1C7AAFAEA}" name="Remarks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7"/>
  <sheetViews>
    <sheetView tabSelected="1" topLeftCell="A25" workbookViewId="0">
      <selection activeCell="F37" sqref="F37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2" t="s">
        <v>37</v>
      </c>
      <c r="B1" s="12"/>
      <c r="C1" s="12"/>
      <c r="D1" s="12"/>
      <c r="E1" s="13"/>
      <c r="F1" s="13"/>
      <c r="G1" s="13"/>
      <c r="H1" s="13"/>
      <c r="I1" s="13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>ROW()-2</f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>ROW()-2</f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>ROW()-2</f>
        <v>32</v>
      </c>
      <c r="B34" s="4"/>
      <c r="C34" s="4"/>
      <c r="D34" s="5"/>
      <c r="E34" s="4"/>
      <c r="F34" s="4"/>
      <c r="G34" s="4"/>
      <c r="H34" s="5"/>
      <c r="I34" s="4"/>
    </row>
    <row r="35" spans="1:9" ht="15.75" x14ac:dyDescent="0.25">
      <c r="A35" s="4">
        <f>ROW()-2</f>
        <v>33</v>
      </c>
      <c r="B35" s="4"/>
      <c r="C35" s="4"/>
      <c r="D35" s="5"/>
      <c r="E35" s="4"/>
      <c r="F35" s="4"/>
      <c r="G35" s="4"/>
      <c r="H35" s="5"/>
      <c r="I35" s="4"/>
    </row>
    <row r="36" spans="1:9" ht="15.75" x14ac:dyDescent="0.25">
      <c r="A36" s="4">
        <f>ROW()-2</f>
        <v>34</v>
      </c>
      <c r="B36" s="4"/>
      <c r="C36" s="4"/>
      <c r="D36" s="5"/>
      <c r="E36" s="4"/>
      <c r="F36" s="4"/>
      <c r="G36" s="4"/>
      <c r="H36" s="5"/>
      <c r="I36" s="4"/>
    </row>
    <row r="37" spans="1:9" ht="15.75" x14ac:dyDescent="0.25">
      <c r="A37" s="4">
        <f t="shared" si="0"/>
        <v>35</v>
      </c>
      <c r="B37" s="7" t="s">
        <v>153</v>
      </c>
      <c r="C37" s="7">
        <f>SUM(C4:C30)</f>
        <v>4447</v>
      </c>
      <c r="D37" s="4"/>
      <c r="E37" s="7" t="s">
        <v>153</v>
      </c>
      <c r="F37" s="7">
        <f>SUM(F3:F33)</f>
        <v>3492</v>
      </c>
      <c r="G37" s="4"/>
      <c r="H37" s="5"/>
      <c r="I3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4"/>
  <sheetViews>
    <sheetView topLeftCell="A37" workbookViewId="0">
      <selection activeCell="B50" sqref="B50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4" t="s">
        <v>8</v>
      </c>
      <c r="B1" s="14"/>
      <c r="C1" s="14"/>
      <c r="D1" s="14"/>
      <c r="E1" s="14"/>
      <c r="F1" s="14"/>
      <c r="G1" s="14"/>
      <c r="H1" s="14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/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/>
      <c r="C50" s="6"/>
      <c r="D50" s="6"/>
      <c r="E50" s="4"/>
      <c r="F50" s="4"/>
      <c r="G50" s="5"/>
      <c r="H50" s="4"/>
    </row>
    <row r="51" spans="1:8" ht="15.75" x14ac:dyDescent="0.25">
      <c r="A51" s="4">
        <f t="shared" si="3"/>
        <v>49</v>
      </c>
      <c r="B51" s="6"/>
      <c r="C51" s="6"/>
      <c r="D51" s="6"/>
      <c r="E51" s="4"/>
      <c r="F51" s="4"/>
      <c r="G51" s="5"/>
      <c r="H51" s="4"/>
    </row>
    <row r="52" spans="1:8" ht="15.75" x14ac:dyDescent="0.25">
      <c r="A52" s="4">
        <f t="shared" si="3"/>
        <v>50</v>
      </c>
      <c r="B52" s="6"/>
      <c r="C52" s="6"/>
      <c r="D52" s="6"/>
      <c r="E52" s="4"/>
      <c r="F52" s="4"/>
      <c r="G52" s="5"/>
      <c r="H52" s="4"/>
    </row>
    <row r="53" spans="1:8" ht="15.75" x14ac:dyDescent="0.25">
      <c r="A53" s="4">
        <f t="shared" si="1"/>
        <v>51</v>
      </c>
      <c r="B53" s="6"/>
      <c r="C53" s="6"/>
      <c r="D53" s="6"/>
      <c r="E53" s="7" t="s">
        <v>153</v>
      </c>
      <c r="F53" s="7">
        <f>SUM(F3:F49)</f>
        <v>2944</v>
      </c>
      <c r="G53" s="4"/>
      <c r="H53" s="4"/>
    </row>
    <row r="54" spans="1:8" x14ac:dyDescent="0.25">
      <c r="C5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0" t="s">
        <v>194</v>
      </c>
      <c r="B1" s="11"/>
      <c r="C1" s="11"/>
      <c r="D1" s="11"/>
      <c r="E1" s="11"/>
      <c r="F1" s="11"/>
      <c r="G1" s="11"/>
      <c r="H1" s="11"/>
      <c r="K1" s="10" t="s">
        <v>195</v>
      </c>
      <c r="L1" s="11"/>
      <c r="M1" s="11"/>
      <c r="N1" s="11"/>
      <c r="O1" s="11"/>
      <c r="P1" s="11"/>
      <c r="Q1" s="11"/>
      <c r="R1" s="11"/>
      <c r="U1" s="10" t="s">
        <v>196</v>
      </c>
      <c r="V1" s="10"/>
      <c r="W1" s="10"/>
      <c r="X1" s="10"/>
      <c r="Y1" s="10"/>
      <c r="Z1" s="10"/>
      <c r="AA1" s="10"/>
      <c r="AB1" s="10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2026-07-13T07:06:19Z</dcterms:modified>
</cp:coreProperties>
</file>