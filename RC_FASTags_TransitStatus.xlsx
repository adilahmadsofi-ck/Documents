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169770C-1932-47AC-9E56-928E226775D5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9" i="4" l="1"/>
  <c r="A30" i="4"/>
  <c r="A16" i="2"/>
  <c r="A17" i="2"/>
  <c r="A18" i="2"/>
  <c r="A19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F20" i="2"/>
  <c r="C20" i="2"/>
  <c r="A20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<sst xmlns="http://schemas.openxmlformats.org/spreadsheetml/2006/main" count="190" uniqueCount="114">
  <si>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</si>
  <si>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</si>
  <si>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</si>
  <si>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</si>
  <si>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</si>
  <si>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</si>
  <si>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</si>
  <si>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</si>
  <si>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</si>
  <si>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</si>
  <si>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</si>
  <si>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</si>
  <si>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</si>
  <si>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</si>
  <si>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</si>
  <si>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</si>
  <si>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</si>
  <si>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</si>
  <si>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</si>
  <si>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</si>
  <si>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</si>
  <si>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</si>
  <si>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</si>
  <si>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</si>
  <si>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</si>
  <si>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</si>
  <si>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</si>
  <si>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</si>
  <si>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</si>
  <si>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</si>
  <si>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</si>
  <si>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</si>
  <si>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</si>
  <si>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</si>
  <si>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</si>
  <si>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</si>
  <si>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</si>
  <si>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</si>
  <si>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</si>
  <si>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</si>
  <si>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</si>
  <si>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</si>
  <si>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</si>
  <si>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</si>
  <si>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</si>
  <si>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</si>
  <si>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</si>
  <si>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</si>
  <si>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</si>
  <si>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</si>
  <si>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</si>
  <si>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</si>
  <si>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</si>
  <si>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</si>
  <si>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</si>
  <si>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</si>
  <si>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</si>
  <si>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</si>
  <si>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</si>
  <si>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</si>
  <si>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</si>
  <si>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</si>
  <si>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</si>
  <si>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</si>
  <si>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</si>
  <si>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</si>
  <si>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</si>
  <si>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</si>
  <si>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</si>
  <si>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</si>
  <si>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</si>
  <si>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</si>
  <si>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</si>
  <si>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</si>
  <si>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</si>
  <si>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</si>
  <si>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</si>
  <si>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</si>
  <si>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</si>
  <si>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</si>
  <si>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</si>
  <si>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</si>
  <si>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</si>
  <si>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</si>
  <si>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</si>
  <si>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</si>
  <si>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</si>
  <si>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</si>
  <si>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</si>
  <si>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</si>
  <si>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</si>
  <si>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</si>
  <si>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</si>
  <si>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</si>
  <si>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</si>
  <si>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</si>
  <si>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</si>
  <si>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</si>
  <si>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</si>
  <si>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</si>
  <si>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</si>
  <si>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</si>
  <si>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</si>
  <si>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</si>
  <si>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</si>
  <si>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</si>
  <si>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</si>
  <si>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</si>
  <si>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</si>
  <si>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</si>
  <si>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</si>
  <si>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</si>
  <si>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JK0128251 - JK0128500</t>
  </si>
  <si>
    <t>JK0128351 - JK0128500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</si>
</sst>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0" totalsRowShown="0" headerRowDxfId="27" dataDxfId="26">
  <autoFilter ref="A2:I20" xr:uid="{CA5C59B6-CE46-4417-A1E1-57B514AE8648}"/>
  <sortState xmlns:xlrd2="http://schemas.microsoft.com/office/spreadsheetml/2017/richdata2" ref="A3:I20">
    <sortCondition ref="H2:H20"/>
  </sortState>
  <tableColumns count="9">
    <tableColumn id="1" xr3:uid="{F980782F-9663-4F3B-A4B5-72E20C146CA6}" name="S.No." dataDxfId="25">
      <calculatedColumnFormula>ROW()-2</calculatedColumnFormula>
    </tableColumn>
    <tableColumn id="4" xr3:uid="{41F3F928-C5F4-479D-8794-38082DFADE30}" name="Serial" dataDxfId="24"/>
    <tableColumn id="9" xr3:uid="{6551D741-ECEA-463A-A282-9E465AC65D87}" name="RTO Rc Rec" dataDxfId="23"/>
    <tableColumn id="10" xr3:uid="{27CFA8EB-0A9B-4187-B61B-83F48466BC43}" name="Date" dataDxfId="22"/>
    <tableColumn id="2" xr3:uid="{24379A66-65E1-4060-BC95-F052DEABD945}" name="Card Number" dataDxfId="21"/>
    <tableColumn id="3" xr3:uid="{00D6D077-3271-44BD-842C-3A558BFFF932}" name="Qty" dataDxfId="20"/>
    <tableColumn id="11" xr3:uid="{2DE97642-A764-4067-B347-A03241193D5E}" name="Channel" dataDxfId="19"/>
    <tableColumn id="5" xr3:uid="{BE80955F-5DAA-4ECC-BB79-381C74EB834B}" name="Date2" dataDxfId="18"/>
    <tableColumn id="6" xr3:uid="{DD8A9FCE-3112-4052-BE00-322420D04B3B}" name="Statu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0" totalsRowShown="0" headerRowDxfId="16" dataDxfId="15">
  <autoFilter ref="A2:H30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0"/>
  <sheetViews>
    <sheetView tabSelected="1" topLeftCell="A4" workbookViewId="0">
      <selection activeCell="I18" sqref="I18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8" t="s">
        <v>37</v>
      </c>
      <c r="B1" s="8"/>
      <c r="C1" s="8"/>
      <c r="D1" s="8"/>
      <c r="E1" s="9"/>
      <c r="F1" s="9"/>
      <c r="G1" s="9"/>
      <c r="H1" s="9"/>
      <c r="I1" s="9"/>
    </row>
    <row r="2" spans="1:9" ht="15.75" x14ac:dyDescent="0.25">
      <c r="A2" s="4" t="s">
        <v>0</v>
      </c>
      <c r="B2" s="4" t="s">
        <v>97</v>
      </c>
      <c r="C2" s="4" t="s">
        <v>75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76</v>
      </c>
      <c r="I2" s="4" t="s">
        <v>22</v>
      </c>
    </row>
    <row r="3" spans="1:9" ht="15.75" x14ac:dyDescent="0.25">
      <c r="A3" s="4">
        <f t="shared" ref="A3:A20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74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72</v>
      </c>
      <c r="F9" s="4">
        <v>150</v>
      </c>
      <c r="G9" s="4" t="s">
        <v>30</v>
      </c>
      <c r="H9" s="5">
        <v>46025</v>
      </c>
      <c r="I9" s="4" t="s">
        <v>73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71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99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78</v>
      </c>
      <c r="F13" s="4">
        <v>250</v>
      </c>
      <c r="G13" s="4" t="s">
        <v>16</v>
      </c>
      <c r="H13" s="5">
        <v>46042</v>
      </c>
      <c r="I13" s="4" t="s">
        <v>77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91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98</v>
      </c>
      <c r="C15" s="4">
        <v>250</v>
      </c>
      <c r="D15" s="5">
        <v>46093</v>
      </c>
      <c r="E15" s="4" t="s">
        <v>100</v>
      </c>
      <c r="F15" s="4">
        <v>100</v>
      </c>
      <c r="G15" s="4" t="s">
        <v>30</v>
      </c>
      <c r="H15" s="5">
        <v>46095</v>
      </c>
      <c r="I15" s="4" t="s">
        <v>101</v>
      </c>
    </row>
    <row r="16" spans="1:9" ht="15.75" x14ac:dyDescent="0.25">
      <c r="A16" s="4">
        <f>ROW()-2</f>
        <v>14</v>
      </c>
      <c r="B16" s="4"/>
      <c r="C16" s="4"/>
      <c r="D16" s="5"/>
      <c r="E16" s="4" t="s">
        <v>102</v>
      </c>
      <c r="F16" s="4">
        <v>100</v>
      </c>
      <c r="G16" s="4" t="s">
        <v>16</v>
      </c>
      <c r="H16" s="5">
        <v>46100</v>
      </c>
      <c r="I16" s="4" t="s">
        <v>103</v>
      </c>
    </row>
    <row r="17" spans="1:9" ht="15.75" x14ac:dyDescent="0.25">
      <c r="A17" s="4">
        <f>ROW()-2</f>
        <v>15</v>
      </c>
      <c r="B17" s="4" t="s">
        <v>112</v>
      </c>
      <c r="C17" s="4">
        <v>250</v>
      </c>
      <c r="D17" s="5">
        <v>46112</v>
      </c>
      <c r="E17" s="4" t="s">
        <v>106</v>
      </c>
      <c r="F17" s="4">
        <v>100</v>
      </c>
      <c r="G17" s="4" t="s">
        <v>30</v>
      </c>
      <c r="H17" s="5">
        <v>46112</v>
      </c>
      <c r="I17" s="4" t="s">
        <v>107</v>
      </c>
    </row>
    <row r="18" spans="1:9" ht="15.75" x14ac:dyDescent="0.25">
      <c r="A18" s="4">
        <f>ROW()-2</f>
        <v>16</v>
      </c>
      <c r="B18" s="4"/>
      <c r="C18" s="4"/>
      <c r="D18" s="5"/>
      <c r="E18" s="4" t="s">
        <v>113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>ROW()-2</f>
        <v>17</v>
      </c>
      <c r="B19" s="4"/>
      <c r="C19" s="4"/>
      <c r="D19" s="5"/>
      <c r="E19" s="4"/>
      <c r="F19" s="4"/>
      <c r="G19" s="4"/>
      <c r="H19" s="5"/>
      <c r="I19" s="4"/>
    </row>
    <row r="20" spans="1:9" ht="15.75" x14ac:dyDescent="0.25">
      <c r="A20" s="4">
        <f t="shared" si="0"/>
        <v>18</v>
      </c>
      <c r="B20" s="4"/>
      <c r="C20" s="7">
        <f>SUM(C4:C15)</f>
        <v>2250</v>
      </c>
      <c r="D20" s="4"/>
      <c r="E20" s="4"/>
      <c r="F20" s="7">
        <f>SUM(F3:F15)</f>
        <v>1600</v>
      </c>
      <c r="G20" s="4"/>
      <c r="H20" s="5"/>
      <c r="I20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30"/>
  <sheetViews>
    <sheetView topLeftCell="A16" workbookViewId="0">
      <selection activeCell="A28" sqref="A28:A30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82</v>
      </c>
      <c r="C13" s="6" t="s">
        <v>83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79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80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79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79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81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84</v>
      </c>
      <c r="C20" s="6" t="s">
        <v>85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87</v>
      </c>
      <c r="C21" s="6" t="s">
        <v>88</v>
      </c>
      <c r="D21" s="6" t="s">
        <v>86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0" si="1">ROW()-2</f>
        <v>20</v>
      </c>
      <c r="B22" s="6" t="s">
        <v>89</v>
      </c>
      <c r="C22" s="6" t="s">
        <v>90</v>
      </c>
      <c r="D22" s="6" t="s">
        <v>86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92</v>
      </c>
      <c r="C23" s="6" t="s">
        <v>92</v>
      </c>
      <c r="D23" s="6" t="s">
        <v>86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94</v>
      </c>
      <c r="C24" s="6" t="s">
        <v>93</v>
      </c>
      <c r="D24" s="6" t="s">
        <v>86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95</v>
      </c>
      <c r="C25" s="6" t="s">
        <v>96</v>
      </c>
      <c r="D25" s="6" t="s">
        <v>86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104</v>
      </c>
      <c r="C26" s="6" t="s">
        <v>105</v>
      </c>
      <c r="D26" s="6" t="s">
        <v>86</v>
      </c>
      <c r="E26" s="4" t="s">
        <v>16</v>
      </c>
      <c r="F26" s="4">
        <v>50</v>
      </c>
      <c r="G26" s="5">
        <v>46100</v>
      </c>
      <c r="H26" s="4" t="s">
        <v>103</v>
      </c>
    </row>
    <row r="27" spans="1:8" ht="15.75" x14ac:dyDescent="0.25">
      <c r="A27" s="4">
        <f t="shared" si="1"/>
        <v>25</v>
      </c>
      <c r="B27" s="6" t="s">
        <v>109</v>
      </c>
      <c r="C27" s="6" t="s">
        <v>109</v>
      </c>
      <c r="D27" s="6" t="s">
        <v>108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110</v>
      </c>
      <c r="C28" s="6" t="s">
        <v>111</v>
      </c>
      <c r="D28" s="6" t="s">
        <v>108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/>
      <c r="C29" s="6"/>
      <c r="D29" s="6"/>
      <c r="E29" s="4"/>
      <c r="F29" s="4"/>
      <c r="G29" s="4"/>
      <c r="H29" s="4"/>
    </row>
    <row r="30" spans="1:8" ht="15.75" x14ac:dyDescent="0.25">
      <c r="A30" s="4">
        <f t="shared" si="1"/>
        <v>28</v>
      </c>
      <c r="B30" s="6"/>
      <c r="C30" s="6"/>
      <c r="D30" s="6"/>
      <c r="E30" s="4"/>
      <c r="F30" s="4"/>
      <c r="G30" s="4"/>
      <c r="H30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2026-03-31T12:55:10Z</dcterms:modified>
</cp:coreProperties>
</file>