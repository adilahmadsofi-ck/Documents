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5ADAC9F5-E0F4-49A1-9669-8656C405D553}" xr6:coauthVersionLast="47" xr6:coauthVersionMax="47" xr10:uidLastSave="{00000000-0000-0000-0000-000000000000}"/>
  <bookViews>
    <workbookView xWindow="-120" yWindow="-120" windowWidth="24240" windowHeight="13020" tabRatio="599" xr2:uid="{3B4A4B74-8526-405E-95DA-3922D64EB034}"/>
  </bookViews>
  <sheets>
    <sheet name="RC" sheetId="2" r:id="rId1"/>
    <sheet name="FASTag" sheetId="4" r:id="rId2"/>
    <sheet name="FASTag Stock" sheetId="5" r:id="rId3"/>
    <sheet name="Contact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2" l="1"/>
  <c r="A45" i="2"/>
  <c r="A46" i="2"/>
  <c r="A42" i="2"/>
  <c r="A43" i="2"/>
  <c r="A44" i="2"/>
  <c r="F63" i="4"/>
  <c r="A60" i="4"/>
  <c r="A61" i="4"/>
  <c r="A62" i="4"/>
  <c r="A57" i="4"/>
  <c r="A58" i="4"/>
  <c r="A59" i="4"/>
  <c r="A53" i="4"/>
  <c r="A54" i="4"/>
  <c r="A39" i="2"/>
  <c r="A40" i="2"/>
  <c r="A41" i="2"/>
  <c r="C47" i="2"/>
  <c r="A37" i="2"/>
  <c r="A38" i="2"/>
  <c r="A51" i="4"/>
  <c r="A52" i="4"/>
  <c r="A34" i="2"/>
  <c r="A35" i="2"/>
  <c r="A36" i="2"/>
  <c r="A48" i="4"/>
  <c r="A49" i="4"/>
  <c r="A50" i="4"/>
  <c r="A43" i="4"/>
  <c r="A44" i="4"/>
  <c r="A45" i="4"/>
  <c r="A46" i="4"/>
  <c r="A47" i="4"/>
  <c r="A40" i="4"/>
  <c r="A41" i="4"/>
  <c r="A42" i="4"/>
  <c r="A31" i="2"/>
  <c r="A32" i="2"/>
  <c r="A33" i="2"/>
  <c r="A39" i="4"/>
  <c r="A55" i="4"/>
  <c r="A56" i="4"/>
  <c r="A36" i="4"/>
  <c r="A35" i="4"/>
  <c r="A26" i="2"/>
  <c r="A28" i="2"/>
  <c r="A29" i="2"/>
  <c r="A30" i="2"/>
  <c r="A34" i="4"/>
  <c r="A37" i="4"/>
  <c r="A38" i="4"/>
  <c r="A63" i="4"/>
  <c r="A24" i="2"/>
  <c r="A25" i="2"/>
  <c r="A31" i="4"/>
  <c r="A32" i="4"/>
  <c r="A33" i="4"/>
  <c r="A22" i="2"/>
  <c r="A23" i="2"/>
  <c r="A27" i="2"/>
  <c r="A19" i="2"/>
  <c r="A20" i="2"/>
  <c r="A29" i="4"/>
  <c r="A30" i="4"/>
  <c r="A16" i="2"/>
  <c r="A17" i="2"/>
  <c r="A18" i="2"/>
  <c r="A21" i="2"/>
  <c r="A24" i="4"/>
  <c r="A25" i="4"/>
  <c r="A26" i="4"/>
  <c r="A27" i="4"/>
  <c r="A28" i="4"/>
  <c r="A22" i="4"/>
  <c r="A23" i="4"/>
  <c r="A21" i="4"/>
  <c r="A14" i="4"/>
  <c r="A20" i="4"/>
  <c r="A12" i="4"/>
  <c r="A19" i="4"/>
  <c r="A18" i="4"/>
  <c r="A17" i="4"/>
  <c r="A16" i="4"/>
  <c r="A15" i="4"/>
  <c r="A13" i="4"/>
  <c r="A11" i="4"/>
  <c r="A10" i="4"/>
  <c r="A9" i="4"/>
  <c r="A8" i="4"/>
  <c r="A7" i="4"/>
  <c r="A6" i="4"/>
  <c r="A5" i="4"/>
  <c r="A4" i="4"/>
  <c r="A3" i="4"/>
  <c r="A47" i="2"/>
  <c r="A15" i="2"/>
  <c r="A14" i="2"/>
  <c r="A13" i="2"/>
  <c r="A12" i="2"/>
  <c r="A11" i="2"/>
  <c r="A8" i="2"/>
  <c r="A10" i="2"/>
  <c r="A9" i="2"/>
  <c r="A6" i="2"/>
  <c r="A3" i="2"/>
  <c r="A4" i="2"/>
  <c r="A5" i="2"/>
  <c r="A7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</calcChain>
</file>

<file path=xl/sharedStrings.xml><?xml version="1.0" encoding="utf-8"?>
<sst xmlns="http://schemas.openxmlformats.org/spreadsheetml/2006/main" count="436" uniqueCount="239">
  <si>
    <t>S.No.</t>
  </si>
  <si>
    <t>NAME</t>
  </si>
  <si>
    <t>CONTACT</t>
  </si>
  <si>
    <t>DESIGNATION</t>
  </si>
  <si>
    <t>LOCATION</t>
  </si>
  <si>
    <t>FEROZ</t>
  </si>
  <si>
    <t>DRIVER</t>
  </si>
  <si>
    <t>PULWAMA</t>
  </si>
  <si>
    <t>PARK+ FASTags</t>
  </si>
  <si>
    <t>Barcode Start No.</t>
  </si>
  <si>
    <t>Barcode End No.</t>
  </si>
  <si>
    <t>Channel / Location</t>
  </si>
  <si>
    <t>Tags Qty</t>
  </si>
  <si>
    <t>ARENA SXR</t>
  </si>
  <si>
    <t>Dated</t>
  </si>
  <si>
    <t>Remarks</t>
  </si>
  <si>
    <t>Anantnag</t>
  </si>
  <si>
    <t>NEXA SXR</t>
  </si>
  <si>
    <t>HILAL BHAT</t>
  </si>
  <si>
    <t>2 USED</t>
  </si>
  <si>
    <t>UNUSED</t>
  </si>
  <si>
    <t>Date</t>
  </si>
  <si>
    <t>Status</t>
  </si>
  <si>
    <t>607095-004-0322900</t>
  </si>
  <si>
    <t>607095-004-0323000</t>
  </si>
  <si>
    <t>607529-022-0022690</t>
  </si>
  <si>
    <t>607095-004-0322880</t>
  </si>
  <si>
    <t>607095-004-0323100</t>
  </si>
  <si>
    <t>607095-004-0323200</t>
  </si>
  <si>
    <t>607529-022-0022720</t>
  </si>
  <si>
    <t>ARENA</t>
  </si>
  <si>
    <t>IQBAL SHOPIAN</t>
  </si>
  <si>
    <t>SHOPIAN</t>
  </si>
  <si>
    <t>RM</t>
  </si>
  <si>
    <t>SENT - MAQSOOD / 7006720176</t>
  </si>
  <si>
    <t>607095-004-0345951</t>
  </si>
  <si>
    <t>607095-004-0345960</t>
  </si>
  <si>
    <t xml:space="preserve">RC </t>
  </si>
  <si>
    <t>Channel</t>
  </si>
  <si>
    <t>Qty</t>
  </si>
  <si>
    <t>Card Number</t>
  </si>
  <si>
    <t>Send - Yawar</t>
  </si>
  <si>
    <t>Send - DSE</t>
  </si>
  <si>
    <t>607529-022-0022692</t>
  </si>
  <si>
    <t>ASAD ULLAH GANAIE / 9596329586</t>
  </si>
  <si>
    <t>607095-004-0322882</t>
  </si>
  <si>
    <t>607095-004-0323201</t>
  </si>
  <si>
    <t>607095-004-0323300</t>
  </si>
  <si>
    <t>Manzoor Sir</t>
  </si>
  <si>
    <t>767751-77000</t>
  </si>
  <si>
    <t>Send - Harjeet</t>
  </si>
  <si>
    <t>607095-004-0418200</t>
  </si>
  <si>
    <t>607095-004-0418100</t>
  </si>
  <si>
    <t>Send - Harjeet / 9149756683</t>
  </si>
  <si>
    <t>607095-004-0418400</t>
  </si>
  <si>
    <t>607095-004-0418301</t>
  </si>
  <si>
    <t>304 missing</t>
  </si>
  <si>
    <t>607529-020-0114603</t>
  </si>
  <si>
    <t>607529-020-0114652</t>
  </si>
  <si>
    <t>607095-004-0418500</t>
  </si>
  <si>
    <t>607095-004-0418401</t>
  </si>
  <si>
    <t>15,16 , missing</t>
  </si>
  <si>
    <t>607095-004-0418501</t>
  </si>
  <si>
    <t>607095-004-0417282</t>
  </si>
  <si>
    <t>607095-004-0417285</t>
  </si>
  <si>
    <t>Order</t>
  </si>
  <si>
    <t>Order 1</t>
  </si>
  <si>
    <t>Order 2</t>
  </si>
  <si>
    <t xml:space="preserve">Anantnag </t>
  </si>
  <si>
    <t>2 TAGS</t>
  </si>
  <si>
    <t>NEXA</t>
  </si>
  <si>
    <t>78001-78150</t>
  </si>
  <si>
    <t>Yawar</t>
  </si>
  <si>
    <t>78151 - 78250</t>
  </si>
  <si>
    <t>RTO Rc Rec</t>
  </si>
  <si>
    <t>Date2</t>
  </si>
  <si>
    <t>Asif Afzal</t>
  </si>
  <si>
    <t>145751-146000</t>
  </si>
  <si>
    <t>YAWAR</t>
  </si>
  <si>
    <t>607529-020-0114627</t>
  </si>
  <si>
    <t>607529-020-0114628</t>
  </si>
  <si>
    <t>607095-004-0418201</t>
  </si>
  <si>
    <t>607095-004-0418300</t>
  </si>
  <si>
    <t>607529-020-0114630</t>
  </si>
  <si>
    <t>607529-020-0114639</t>
  </si>
  <si>
    <t>Order 3</t>
  </si>
  <si>
    <t>607529-020-0178303</t>
  </si>
  <si>
    <t>607529-020-0178403</t>
  </si>
  <si>
    <t>607529-020-0178103</t>
  </si>
  <si>
    <t>607529-020-0178302</t>
  </si>
  <si>
    <t>145501-145600</t>
  </si>
  <si>
    <t>607529-020-0174626</t>
  </si>
  <si>
    <t>607529-020-0178427</t>
  </si>
  <si>
    <t>607529-020-0178404</t>
  </si>
  <si>
    <t>607095-004-0462140</t>
  </si>
  <si>
    <t>607095-004-0462189</t>
  </si>
  <si>
    <t>Serial</t>
  </si>
  <si>
    <t>58001 - 58250</t>
  </si>
  <si>
    <t>JK0145501 - JK0146250</t>
  </si>
  <si>
    <t>146151-165250</t>
  </si>
  <si>
    <t>Showkat Trag</t>
  </si>
  <si>
    <t>58001 -58100</t>
  </si>
  <si>
    <t>jaz</t>
  </si>
  <si>
    <t>607095-004-0462201</t>
  </si>
  <si>
    <t>607095-004-0462250</t>
  </si>
  <si>
    <t>JK0128251 - JK0128350</t>
  </si>
  <si>
    <t>YAWAR AT ARENA</t>
  </si>
  <si>
    <t>Order 4</t>
  </si>
  <si>
    <t>608268-006-0288700</t>
  </si>
  <si>
    <t>607529-019-0422442</t>
  </si>
  <si>
    <t>607529-019-0422491</t>
  </si>
  <si>
    <t>JK0128351 - JK0128500</t>
  </si>
  <si>
    <t>608268-006-0288899</t>
  </si>
  <si>
    <t>608268-006-0288900</t>
  </si>
  <si>
    <t>608268-006-0289099</t>
  </si>
  <si>
    <t>JK0158101 -JK0158150</t>
  </si>
  <si>
    <t>JK0128251 - JK0128750</t>
  </si>
  <si>
    <t>JK0128501-JK0128600</t>
  </si>
  <si>
    <t>608268-006-0289100</t>
  </si>
  <si>
    <t>608268-006-0289149</t>
  </si>
  <si>
    <t>JK0128601-JK0128750</t>
  </si>
  <si>
    <t>Hilal Sir GM</t>
  </si>
  <si>
    <t>608268-006-0416447</t>
  </si>
  <si>
    <t>608268-006-0416499</t>
  </si>
  <si>
    <t>Order 5</t>
  </si>
  <si>
    <t>JK0111251 - JK0111750</t>
  </si>
  <si>
    <t>JK0111401 - JK0111500</t>
  </si>
  <si>
    <t>SHOWKAT TRAG</t>
  </si>
  <si>
    <t>JK0111251 - JK01117400</t>
  </si>
  <si>
    <t>Manzoor sir</t>
  </si>
  <si>
    <t>608268-006-0416500</t>
  </si>
  <si>
    <t>Order 6</t>
  </si>
  <si>
    <t>608268-006-0416649</t>
  </si>
  <si>
    <t>608268-006-0416550</t>
  </si>
  <si>
    <t>608268-006-0416699</t>
  </si>
  <si>
    <t>SELF</t>
  </si>
  <si>
    <t>608268-006-0416700</t>
  </si>
  <si>
    <t>608268-006-0416799</t>
  </si>
  <si>
    <t>Nasir Driver</t>
  </si>
  <si>
    <t>JK0111501 - JK0111600</t>
  </si>
  <si>
    <t>JK0111601 - JK0111650</t>
  </si>
  <si>
    <t>Mashooq Sir</t>
  </si>
  <si>
    <t>JK0120304 - JK0120500</t>
  </si>
  <si>
    <t>JK0120351 - JK0120500</t>
  </si>
  <si>
    <t>LIYAQAT BARAMULLA</t>
  </si>
  <si>
    <t>JK0111701 - JK0111745</t>
  </si>
  <si>
    <t>JK0120304 - JK0120350</t>
  </si>
  <si>
    <t>608268-006-0416825</t>
  </si>
  <si>
    <t>JK0111651 - JK0111700</t>
  </si>
  <si>
    <t>Mirza Mudasir</t>
  </si>
  <si>
    <t>608268-006-0416800</t>
  </si>
  <si>
    <t>607529-019-0559120</t>
  </si>
  <si>
    <t>607529-019-0559144</t>
  </si>
  <si>
    <t>Total</t>
  </si>
  <si>
    <t>608268-006-0416875</t>
  </si>
  <si>
    <t>608268-006-0416899</t>
  </si>
  <si>
    <t>akhlaq</t>
  </si>
  <si>
    <t>607529-019-0559168</t>
  </si>
  <si>
    <t>607529-019-0559149</t>
  </si>
  <si>
    <t>334001 - 334750</t>
  </si>
  <si>
    <t>334001 - 334250</t>
  </si>
  <si>
    <t>Akhlaq</t>
  </si>
  <si>
    <t>608268-006-0416868</t>
  </si>
  <si>
    <t>334500 - 334550</t>
  </si>
  <si>
    <t>self</t>
  </si>
  <si>
    <t>608268-005-0006891</t>
  </si>
  <si>
    <t>608268-005-0006917</t>
  </si>
  <si>
    <t>608268-005-0006868</t>
  </si>
  <si>
    <t>608268-005-0006869</t>
  </si>
  <si>
    <t>tfr</t>
  </si>
  <si>
    <t>Send from other Dealer</t>
  </si>
  <si>
    <t>608268-003-0040519</t>
  </si>
  <si>
    <t>608268-003-0040718</t>
  </si>
  <si>
    <t>Order 7</t>
  </si>
  <si>
    <t>607529-020-0259158</t>
  </si>
  <si>
    <t>607529-020-0259182</t>
  </si>
  <si>
    <t>608268-003-0040719</t>
  </si>
  <si>
    <t>607529-020-0259133</t>
  </si>
  <si>
    <t>607529-020-0259148</t>
  </si>
  <si>
    <t>608268-003-0040899</t>
  </si>
  <si>
    <t>608268-003-0040478</t>
  </si>
  <si>
    <t>608268-003-0040517</t>
  </si>
  <si>
    <t>608268-003-0040905</t>
  </si>
  <si>
    <t>608268-003-0040928</t>
  </si>
  <si>
    <t>607529-020-0259149</t>
  </si>
  <si>
    <t>607529-020-0259157</t>
  </si>
  <si>
    <t>607529-020-0258829</t>
  </si>
  <si>
    <t>607529-020-0258830</t>
  </si>
  <si>
    <t>334251 - 334451</t>
  </si>
  <si>
    <t>Opening Stock</t>
  </si>
  <si>
    <t>Closing Stock</t>
  </si>
  <si>
    <t xml:space="preserve">Activated </t>
  </si>
  <si>
    <t>Order Received</t>
  </si>
  <si>
    <t>Order Shift</t>
  </si>
  <si>
    <t>ARENA SRINAGAR</t>
  </si>
  <si>
    <t>ANANTNAG</t>
  </si>
  <si>
    <t>NEXA SRINAGAR</t>
  </si>
  <si>
    <t>Tags Utilised</t>
  </si>
  <si>
    <t>334701 - 334750</t>
  </si>
  <si>
    <t>334601 - 334700</t>
  </si>
  <si>
    <t>Fazil</t>
  </si>
  <si>
    <t>returnd - 520-530</t>
  </si>
  <si>
    <t>Order 8</t>
  </si>
  <si>
    <t>608268-005-0204086</t>
  </si>
  <si>
    <t>608268-005-0204285</t>
  </si>
  <si>
    <t>377501 - 38000</t>
  </si>
  <si>
    <t>372751 - 373000</t>
  </si>
  <si>
    <t>377501  - 377750</t>
  </si>
  <si>
    <t>608268-005-0204286</t>
  </si>
  <si>
    <t>608268-005-0204436</t>
  </si>
  <si>
    <t>Anees</t>
  </si>
  <si>
    <t>608268-005-0204535</t>
  </si>
  <si>
    <t>608268-005-0204536</t>
  </si>
  <si>
    <t>608268-005-0204585</t>
  </si>
  <si>
    <t>372901 - 3723000</t>
  </si>
  <si>
    <t>410751 - 411500</t>
  </si>
  <si>
    <t>410751 - 411000</t>
  </si>
  <si>
    <t>411001 - 411250</t>
  </si>
  <si>
    <t>608268-005-0246763</t>
  </si>
  <si>
    <t>608268-005-0246614</t>
  </si>
  <si>
    <t>608268-005-0246764</t>
  </si>
  <si>
    <t>608268-005-0246913</t>
  </si>
  <si>
    <t>608268-005-0246914</t>
  </si>
  <si>
    <t>608268-005-0247113</t>
  </si>
  <si>
    <t>608268-005-0384914</t>
  </si>
  <si>
    <t>608268-005-0385013</t>
  </si>
  <si>
    <t>Order 9</t>
  </si>
  <si>
    <t>608268-005-0385014</t>
  </si>
  <si>
    <t>608268-005-0385063</t>
  </si>
  <si>
    <t>608268-005-0384814</t>
  </si>
  <si>
    <t>608268-005-0384913</t>
  </si>
  <si>
    <t>411451 - 411500</t>
  </si>
  <si>
    <t>411401 - 411450</t>
  </si>
  <si>
    <t>411251 - 411400</t>
  </si>
  <si>
    <t>Faizan Driver</t>
  </si>
  <si>
    <t>540251 - 540500</t>
  </si>
  <si>
    <t>540251 - 540300</t>
  </si>
  <si>
    <t>540301 - 540330</t>
  </si>
  <si>
    <t>540331 - 540500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</si>
</sst>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theme="1"/>
      <name val="Bahnschrift"/>
      <family val="2"/>
    </font>
    <font>
      <b/>
      <sz val="48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6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C59B6-CE46-4417-A1E1-57B514AE8648}" name="Table3" displayName="Table3" ref="A2:I47" headerRowDxfId="56" dataDxfId="55">
  <autoFilter ref="A2:I47" xr:uid="{CA5C59B6-CE46-4417-A1E1-57B514AE8648}"/>
  <sortState xmlns:xlrd2="http://schemas.microsoft.com/office/spreadsheetml/2017/richdata2" ref="A3:I47">
    <sortCondition ref="H2:H47"/>
  </sortState>
  <tableColumns count="9">
    <tableColumn id="1" xr3:uid="{F980782F-9663-4F3B-A4B5-72E20C146CA6}" name="S.No." dataDxfId="54" totalsRowDxfId="53">
      <calculatedColumnFormula>ROW()-2</calculatedColumnFormula>
    </tableColumn>
    <tableColumn id="4" xr3:uid="{41F3F928-C5F4-479D-8794-38082DFADE30}" name="Serial" dataDxfId="52" totalsRowDxfId="51"/>
    <tableColumn id="9" xr3:uid="{6551D741-ECEA-463A-A282-9E465AC65D87}" name="RTO Rc Rec" dataDxfId="50" totalsRowDxfId="49"/>
    <tableColumn id="10" xr3:uid="{27CFA8EB-0A9B-4187-B61B-83F48466BC43}" name="Date" dataDxfId="48" totalsRowDxfId="47"/>
    <tableColumn id="2" xr3:uid="{24379A66-65E1-4060-BC95-F052DEABD945}" name="Card Number" dataDxfId="46" totalsRowDxfId="45"/>
    <tableColumn id="3" xr3:uid="{00D6D077-3271-44BD-842C-3A558BFFF932}" name="Qty" dataDxfId="44" totalsRowDxfId="43"/>
    <tableColumn id="11" xr3:uid="{2DE97642-A764-4067-B347-A03241193D5E}" name="Channel" dataDxfId="42" totalsRowDxfId="41"/>
    <tableColumn id="5" xr3:uid="{BE80955F-5DAA-4ECC-BB79-381C74EB834B}" name="Date2" dataDxfId="40" totalsRowDxfId="39"/>
    <tableColumn id="6" xr3:uid="{DD8A9FCE-3112-4052-BE00-322420D04B3B}" name="Status" dataDxfId="38" totalsRow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A62A60-EA8D-4084-B62D-130D765E6A2D}" name="Table2" displayName="Table2" ref="A2:H63" totalsRowShown="0" headerRowDxfId="66" dataDxfId="65">
  <autoFilter ref="A2:H63" xr:uid="{2EA62A60-EA8D-4084-B62D-130D765E6A2D}"/>
  <sortState xmlns:xlrd2="http://schemas.microsoft.com/office/spreadsheetml/2017/richdata2" ref="A3:H63">
    <sortCondition ref="D2:D63"/>
  </sortState>
  <tableColumns count="8">
    <tableColumn id="1" xr3:uid="{D895DD5F-5560-4AF1-98F6-84C7CF0CAA78}" name="S.No." dataDxfId="64">
      <calculatedColumnFormula>ROW()-2</calculatedColumnFormula>
    </tableColumn>
    <tableColumn id="2" xr3:uid="{C4BD8CC6-1DCF-46B4-9447-0D35200C9F6A}" name="Barcode Start No." dataDxfId="63"/>
    <tableColumn id="3" xr3:uid="{B46DB2E9-DEA3-4BCC-AF88-DC78CE972E00}" name="Barcode End No." dataDxfId="62"/>
    <tableColumn id="8" xr3:uid="{64D5D4EA-324D-44CA-A67C-7C8E63C1A56D}" name="Order" dataDxfId="61"/>
    <tableColumn id="4" xr3:uid="{8F1E792C-D591-45D4-9CC6-26DC7EE74461}" name="Channel / Location" dataDxfId="60"/>
    <tableColumn id="5" xr3:uid="{42F3602C-20CA-409C-B4D2-ECCE3474294B}" name="Tags Qty" dataDxfId="59"/>
    <tableColumn id="6" xr3:uid="{10B0A880-1CFD-44B1-B9CD-5A12B7D02111}" name="Dated" dataDxfId="58"/>
    <tableColumn id="7" xr3:uid="{39B403C8-70C4-401B-B460-C0A55C193E92}" name="Remarks" dataDxfId="5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19EA76-FE33-4EDA-96A5-FB5AB6842877}" name="Arena" displayName="Arena" ref="A2:H18" totalsRowShown="0" headerRowDxfId="36" dataDxfId="35">
  <autoFilter ref="A2:H18" xr:uid="{6B19EA76-FE33-4EDA-96A5-FB5AB6842877}"/>
  <tableColumns count="8">
    <tableColumn id="1" xr3:uid="{205B1937-36C2-4A79-ADEE-67B939CC6350}" name="Dated" dataDxfId="34"/>
    <tableColumn id="2" xr3:uid="{FC4A4194-EC0B-4123-AA2A-047F801393F9}" name="Opening Stock" dataDxfId="33"/>
    <tableColumn id="3" xr3:uid="{B9BA259A-905C-4F48-9EF9-1D3A771CDF0D}" name="Activated " dataDxfId="32"/>
    <tableColumn id="4" xr3:uid="{6B90C7CC-E86F-4D69-8B7A-1A5106E7671C}" name="Order Received" dataDxfId="31"/>
    <tableColumn id="5" xr3:uid="{52A7379A-F21F-428A-AC09-8DDD0314565C}" name="Closing Stock" dataDxfId="30"/>
    <tableColumn id="6" xr3:uid="{2D5B9A13-3A69-4B89-9385-0118C6E503AA}" name="Order Shift" dataDxfId="29"/>
    <tableColumn id="8" xr3:uid="{7A6C60CE-7C65-462E-936E-BEBFB199EEEA}" name="Tags Utilised" dataDxfId="28"/>
    <tableColumn id="7" xr3:uid="{3B8303E5-7229-40E9-B595-7FD79C903530}" name="Remarks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BFC800-1EAF-4967-B61B-9184746587CB}" name="Table46" displayName="Table46" ref="K2:R18" totalsRowShown="0" headerRowDxfId="26" dataDxfId="25">
  <autoFilter ref="K2:R18" xr:uid="{F5BFC800-1EAF-4967-B61B-9184746587CB}"/>
  <tableColumns count="8">
    <tableColumn id="1" xr3:uid="{EE8E16B4-53D2-438F-BDFF-22C4417244D7}" name="Dated" dataDxfId="24"/>
    <tableColumn id="2" xr3:uid="{4ED05A2F-B065-41B5-B1FC-755636A3BA21}" name="Opening Stock" dataDxfId="23"/>
    <tableColumn id="3" xr3:uid="{57285520-2C9E-4091-953B-03FBAFD5574E}" name="Activated " dataDxfId="22"/>
    <tableColumn id="4" xr3:uid="{26808A5F-3F95-45FD-91EE-BFADD8DB9C6A}" name="Order Received" dataDxfId="21"/>
    <tableColumn id="5" xr3:uid="{A95C8869-A6DD-4A00-8782-9276336A5840}" name="Closing Stock" dataDxfId="20"/>
    <tableColumn id="6" xr3:uid="{F683981E-ECFB-47E9-88E2-60A6694123E4}" name="Order Shift" dataDxfId="19"/>
    <tableColumn id="9" xr3:uid="{4862D1DC-BC5E-473F-B5F4-E4EDDBFBAEA8}" name="Tags Utilised" dataDxfId="18"/>
    <tableColumn id="7" xr3:uid="{59E58FF5-FBE8-4EA3-8C27-FDBB5D8347D8}" name="Remarks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6732A9-DC14-4F77-B928-B2EA21A17DE3}" name="Table467" displayName="Table467" ref="U2:AB18" totalsRowShown="0" headerRowDxfId="16" dataDxfId="15">
  <autoFilter ref="U2:AB18" xr:uid="{C16732A9-DC14-4F77-B928-B2EA21A17DE3}"/>
  <tableColumns count="8">
    <tableColumn id="1" xr3:uid="{863EE3B3-D99D-40AA-9A97-8B87E908A619}" name="Dated" dataDxfId="14"/>
    <tableColumn id="2" xr3:uid="{7EBF6231-0A46-4C5A-8F44-07F6E8D58BD8}" name="Opening Stock" dataDxfId="13"/>
    <tableColumn id="3" xr3:uid="{7302BA2D-23E3-4355-A732-13358849E25E}" name="Activated " dataDxfId="12"/>
    <tableColumn id="4" xr3:uid="{C353FB1F-2706-4110-9F4C-867233885BE5}" name="Order Received" dataDxfId="11"/>
    <tableColumn id="5" xr3:uid="{1C608AFD-D32B-49BA-B588-B75035E109DA}" name="Closing Stock" dataDxfId="10"/>
    <tableColumn id="6" xr3:uid="{FF5D1709-231D-4967-81E2-C12033E82768}" name="Order Shift" dataDxfId="9"/>
    <tableColumn id="9" xr3:uid="{ABB4B85D-962C-4A1F-8D08-7E53D211DBB3}" name="Tags Utilised" dataDxfId="8"/>
    <tableColumn id="7" xr3:uid="{918E2430-DED3-4A6B-A818-8CD1C7AAFAEA}" name="Remarks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B94FA-761F-4463-AB42-A4061069BAA5}" name="Table1" displayName="Table1" ref="A1:E31" totalsRowShown="0" headerRowDxfId="6" dataDxfId="5">
  <autoFilter ref="A1:E31" xr:uid="{B6DB94FA-761F-4463-AB42-A4061069BAA5}"/>
  <tableColumns count="5">
    <tableColumn id="1" xr3:uid="{1D31F252-7F75-4ACE-8E4E-970F96D5D0FB}" name="S.No." dataDxfId="4">
      <calculatedColumnFormula>ROW()-1</calculatedColumnFormula>
    </tableColumn>
    <tableColumn id="2" xr3:uid="{5C2AFA5C-CFD5-43A7-83E2-31A9A1E8AA6E}" name="NAME" dataDxfId="3"/>
    <tableColumn id="3" xr3:uid="{194B191E-FB6F-4E26-9A5A-32D004AC4649}" name="DESIGNATION" dataDxfId="2"/>
    <tableColumn id="6" xr3:uid="{C758F67A-2E84-46C0-BF1E-17717F5D79AC}" name="CONTACT" dataDxfId="1"/>
    <tableColumn id="4" xr3:uid="{6C0116B5-2941-4E11-AD47-2ECED03BE947}" name="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C5D2-EBF3-44BC-AD33-13F607DA9441}">
  <sheetPr codeName="Sheet1"/>
  <dimension ref="A1:AA47"/>
  <sheetViews>
    <sheetView tabSelected="1" topLeftCell="A28" workbookViewId="0">
      <selection activeCell="F47" sqref="F47"/>
    </sheetView>
  </sheetViews>
  <sheetFormatPr defaultRowHeight="15" x14ac:dyDescent="0.25"/>
  <cols>
    <col min="1" max="1" width="10.5703125" bestFit="1" customWidth="1"/>
    <col min="2" max="2" width="36.5703125" customWidth="1"/>
    <col min="3" max="3" width="16.42578125" bestFit="1" customWidth="1"/>
    <col min="4" max="4" width="16.42578125" customWidth="1"/>
    <col min="5" max="5" width="34.42578125" customWidth="1"/>
    <col min="6" max="7" width="32.5703125" customWidth="1"/>
    <col min="8" max="8" width="16.5703125" customWidth="1"/>
    <col min="9" max="9" width="21.42578125" customWidth="1"/>
    <col min="12" max="12" width="9.42578125" bestFit="1" customWidth="1"/>
    <col min="13" max="13" width="26.28515625" style="2" bestFit="1" customWidth="1"/>
    <col min="14" max="15" width="34" style="2" customWidth="1"/>
    <col min="16" max="16" width="31" customWidth="1"/>
    <col min="17" max="17" width="21.7109375" customWidth="1"/>
    <col min="18" max="18" width="21.42578125" customWidth="1"/>
    <col min="19" max="19" width="35.28515625" customWidth="1"/>
    <col min="21" max="21" width="10.28515625" customWidth="1"/>
    <col min="22" max="22" width="26.85546875" customWidth="1"/>
    <col min="23" max="23" width="17.140625" customWidth="1"/>
    <col min="24" max="24" width="25.140625" customWidth="1"/>
    <col min="25" max="27" width="15.5703125" style="3" customWidth="1"/>
    <col min="28" max="28" width="19.5703125" customWidth="1"/>
  </cols>
  <sheetData>
    <row r="1" spans="1:9" ht="33.75" x14ac:dyDescent="0.5">
      <c r="A1" s="11" t="s">
        <v>37</v>
      </c>
      <c r="B1" s="11"/>
      <c r="C1" s="11"/>
      <c r="D1" s="11"/>
      <c r="E1" s="12"/>
      <c r="F1" s="12"/>
      <c r="G1" s="12"/>
      <c r="H1" s="12"/>
      <c r="I1" s="12"/>
    </row>
    <row r="2" spans="1:9" ht="15.75" x14ac:dyDescent="0.25">
      <c r="A2" s="4" t="s">
        <v>0</v>
      </c>
      <c r="B2" s="4" t="s">
        <v>96</v>
      </c>
      <c r="C2" s="4" t="s">
        <v>74</v>
      </c>
      <c r="D2" s="4" t="s">
        <v>21</v>
      </c>
      <c r="E2" s="4" t="s">
        <v>40</v>
      </c>
      <c r="F2" s="4" t="s">
        <v>39</v>
      </c>
      <c r="G2" s="5" t="s">
        <v>38</v>
      </c>
      <c r="H2" s="5" t="s">
        <v>75</v>
      </c>
      <c r="I2" s="4" t="s">
        <v>22</v>
      </c>
    </row>
    <row r="3" spans="1:9" ht="15.75" x14ac:dyDescent="0.25">
      <c r="A3" s="4">
        <f t="shared" ref="A3:A47" si="0">ROW()-2</f>
        <v>1</v>
      </c>
      <c r="B3" s="4"/>
      <c r="C3" s="4"/>
      <c r="D3" s="4"/>
      <c r="E3" s="4"/>
      <c r="F3" s="4">
        <v>250</v>
      </c>
      <c r="G3" s="4" t="s">
        <v>30</v>
      </c>
      <c r="H3" s="5">
        <v>45983</v>
      </c>
      <c r="I3" s="4" t="s">
        <v>41</v>
      </c>
    </row>
    <row r="4" spans="1:9" ht="15.75" x14ac:dyDescent="0.25">
      <c r="A4" s="4">
        <f t="shared" si="0"/>
        <v>2</v>
      </c>
      <c r="B4" s="4"/>
      <c r="C4" s="4"/>
      <c r="D4" s="4"/>
      <c r="E4" s="4"/>
      <c r="F4" s="4">
        <v>245</v>
      </c>
      <c r="G4" s="4" t="s">
        <v>70</v>
      </c>
      <c r="H4" s="5">
        <v>45983</v>
      </c>
      <c r="I4" s="4" t="s">
        <v>41</v>
      </c>
    </row>
    <row r="5" spans="1:9" ht="15.75" x14ac:dyDescent="0.25">
      <c r="A5" s="4">
        <f t="shared" si="0"/>
        <v>3</v>
      </c>
      <c r="B5" s="4"/>
      <c r="C5" s="4"/>
      <c r="D5" s="4"/>
      <c r="E5" s="4"/>
      <c r="F5" s="4">
        <v>5</v>
      </c>
      <c r="G5" s="4" t="s">
        <v>30</v>
      </c>
      <c r="H5" s="5">
        <v>46012</v>
      </c>
      <c r="I5" s="4" t="s">
        <v>42</v>
      </c>
    </row>
    <row r="6" spans="1:9" ht="15.75" x14ac:dyDescent="0.25">
      <c r="A6" s="4">
        <f t="shared" si="0"/>
        <v>4</v>
      </c>
      <c r="B6" s="4"/>
      <c r="C6" s="4">
        <v>250</v>
      </c>
      <c r="D6" s="5">
        <v>45983</v>
      </c>
      <c r="E6" s="4"/>
      <c r="F6" s="4">
        <v>75</v>
      </c>
      <c r="G6" s="4" t="s">
        <v>16</v>
      </c>
      <c r="H6" s="5">
        <v>46014</v>
      </c>
      <c r="I6" s="4"/>
    </row>
    <row r="7" spans="1:9" ht="15.75" x14ac:dyDescent="0.25">
      <c r="A7" s="4">
        <f t="shared" si="0"/>
        <v>5</v>
      </c>
      <c r="B7" s="4"/>
      <c r="C7" s="4"/>
      <c r="D7" s="4"/>
      <c r="E7" s="4"/>
      <c r="F7" s="4">
        <v>75</v>
      </c>
      <c r="G7" s="4" t="s">
        <v>30</v>
      </c>
      <c r="H7" s="5">
        <v>46014</v>
      </c>
      <c r="I7" s="4" t="s">
        <v>41</v>
      </c>
    </row>
    <row r="8" spans="1:9" ht="15.75" x14ac:dyDescent="0.25">
      <c r="A8" s="4">
        <f t="shared" si="0"/>
        <v>6</v>
      </c>
      <c r="B8" s="4"/>
      <c r="C8" s="4">
        <v>250</v>
      </c>
      <c r="D8" s="5">
        <v>45983</v>
      </c>
      <c r="E8" s="4" t="s">
        <v>73</v>
      </c>
      <c r="F8" s="4">
        <v>100</v>
      </c>
      <c r="G8" s="4" t="s">
        <v>16</v>
      </c>
      <c r="H8" s="5">
        <v>46025</v>
      </c>
      <c r="I8" s="4" t="s">
        <v>50</v>
      </c>
    </row>
    <row r="9" spans="1:9" ht="15.75" x14ac:dyDescent="0.25">
      <c r="A9" s="4">
        <f t="shared" si="0"/>
        <v>7</v>
      </c>
      <c r="B9" s="4"/>
      <c r="C9" s="4">
        <v>250</v>
      </c>
      <c r="D9" s="5">
        <v>46014</v>
      </c>
      <c r="E9" s="4" t="s">
        <v>71</v>
      </c>
      <c r="F9" s="4">
        <v>150</v>
      </c>
      <c r="G9" s="4" t="s">
        <v>30</v>
      </c>
      <c r="H9" s="5">
        <v>46025</v>
      </c>
      <c r="I9" s="4" t="s">
        <v>72</v>
      </c>
    </row>
    <row r="10" spans="1:9" ht="15.75" x14ac:dyDescent="0.25">
      <c r="A10" s="4">
        <f t="shared" si="0"/>
        <v>8</v>
      </c>
      <c r="B10" s="4"/>
      <c r="C10" s="4">
        <v>500</v>
      </c>
      <c r="D10" s="5">
        <v>46025</v>
      </c>
      <c r="E10" s="4" t="s">
        <v>49</v>
      </c>
      <c r="F10" s="4">
        <v>150</v>
      </c>
      <c r="G10" s="4" t="s">
        <v>70</v>
      </c>
      <c r="H10" s="5">
        <v>46027</v>
      </c>
      <c r="I10" s="4"/>
    </row>
    <row r="11" spans="1:9" ht="15.75" x14ac:dyDescent="0.25">
      <c r="A11" s="4">
        <f t="shared" si="0"/>
        <v>9</v>
      </c>
      <c r="B11" s="4" t="s">
        <v>98</v>
      </c>
      <c r="C11" s="4">
        <v>750</v>
      </c>
      <c r="D11" s="5">
        <v>46039</v>
      </c>
      <c r="E11" s="4"/>
      <c r="F11" s="4">
        <v>40</v>
      </c>
      <c r="G11" s="4" t="s">
        <v>16</v>
      </c>
      <c r="H11" s="5">
        <v>46034</v>
      </c>
      <c r="I11" s="4"/>
    </row>
    <row r="12" spans="1:9" ht="15.75" x14ac:dyDescent="0.25">
      <c r="A12" s="4">
        <f t="shared" si="0"/>
        <v>10</v>
      </c>
      <c r="B12" s="4"/>
      <c r="C12" s="4"/>
      <c r="D12" s="4"/>
      <c r="E12" s="4"/>
      <c r="F12" s="4">
        <v>60</v>
      </c>
      <c r="G12" s="4" t="s">
        <v>16</v>
      </c>
      <c r="H12" s="5">
        <v>46037</v>
      </c>
      <c r="I12" s="4"/>
    </row>
    <row r="13" spans="1:9" ht="15.75" x14ac:dyDescent="0.25">
      <c r="A13" s="4">
        <f t="shared" si="0"/>
        <v>11</v>
      </c>
      <c r="B13" s="4"/>
      <c r="C13" s="4"/>
      <c r="D13" s="4"/>
      <c r="E13" s="4" t="s">
        <v>77</v>
      </c>
      <c r="F13" s="4">
        <v>250</v>
      </c>
      <c r="G13" s="4" t="s">
        <v>16</v>
      </c>
      <c r="H13" s="5">
        <v>46042</v>
      </c>
      <c r="I13" s="4" t="s">
        <v>76</v>
      </c>
    </row>
    <row r="14" spans="1:9" ht="15.75" x14ac:dyDescent="0.25">
      <c r="A14" s="4">
        <f t="shared" si="0"/>
        <v>12</v>
      </c>
      <c r="B14" s="4"/>
      <c r="C14" s="4"/>
      <c r="D14" s="4"/>
      <c r="E14" s="4" t="s">
        <v>90</v>
      </c>
      <c r="F14" s="4">
        <v>100</v>
      </c>
      <c r="G14" s="4" t="s">
        <v>30</v>
      </c>
      <c r="H14" s="5">
        <v>46065</v>
      </c>
      <c r="I14" s="4"/>
    </row>
    <row r="15" spans="1:9" ht="15.75" x14ac:dyDescent="0.25">
      <c r="A15" s="4">
        <f t="shared" si="0"/>
        <v>13</v>
      </c>
      <c r="B15" s="4" t="s">
        <v>97</v>
      </c>
      <c r="C15" s="4">
        <v>250</v>
      </c>
      <c r="D15" s="5">
        <v>46093</v>
      </c>
      <c r="E15" s="4" t="s">
        <v>99</v>
      </c>
      <c r="F15" s="4">
        <v>100</v>
      </c>
      <c r="G15" s="4" t="s">
        <v>30</v>
      </c>
      <c r="H15" s="5">
        <v>46095</v>
      </c>
      <c r="I15" s="4" t="s">
        <v>100</v>
      </c>
    </row>
    <row r="16" spans="1:9" ht="15.75" x14ac:dyDescent="0.25">
      <c r="A16" s="4">
        <f t="shared" ref="A16:A21" si="1">ROW()-2</f>
        <v>14</v>
      </c>
      <c r="B16" s="4"/>
      <c r="C16" s="4"/>
      <c r="D16" s="5"/>
      <c r="E16" s="4" t="s">
        <v>101</v>
      </c>
      <c r="F16" s="4">
        <v>100</v>
      </c>
      <c r="G16" s="4" t="s">
        <v>16</v>
      </c>
      <c r="H16" s="5">
        <v>46100</v>
      </c>
      <c r="I16" s="4" t="s">
        <v>102</v>
      </c>
    </row>
    <row r="17" spans="1:9" ht="15.75" x14ac:dyDescent="0.25">
      <c r="A17" s="4">
        <f t="shared" si="1"/>
        <v>15</v>
      </c>
      <c r="B17" s="4" t="s">
        <v>116</v>
      </c>
      <c r="C17" s="4">
        <v>750</v>
      </c>
      <c r="D17" s="5">
        <v>46112</v>
      </c>
      <c r="E17" s="4" t="s">
        <v>105</v>
      </c>
      <c r="F17" s="4">
        <v>100</v>
      </c>
      <c r="G17" s="4" t="s">
        <v>30</v>
      </c>
      <c r="H17" s="5">
        <v>46112</v>
      </c>
      <c r="I17" s="4" t="s">
        <v>106</v>
      </c>
    </row>
    <row r="18" spans="1:9" ht="15.75" x14ac:dyDescent="0.25">
      <c r="A18" s="4">
        <f t="shared" si="1"/>
        <v>16</v>
      </c>
      <c r="B18" s="4"/>
      <c r="C18" s="4"/>
      <c r="D18" s="5"/>
      <c r="E18" s="4" t="s">
        <v>111</v>
      </c>
      <c r="F18" s="4">
        <v>150</v>
      </c>
      <c r="G18" s="4" t="s">
        <v>16</v>
      </c>
      <c r="H18" s="5">
        <v>46112</v>
      </c>
      <c r="I18" s="4"/>
    </row>
    <row r="19" spans="1:9" ht="15.75" x14ac:dyDescent="0.25">
      <c r="A19" s="4">
        <f t="shared" si="1"/>
        <v>17</v>
      </c>
      <c r="B19" s="4"/>
      <c r="C19" s="4"/>
      <c r="D19" s="5"/>
      <c r="E19" s="4" t="s">
        <v>115</v>
      </c>
      <c r="F19" s="4">
        <v>50</v>
      </c>
      <c r="G19" s="4" t="s">
        <v>70</v>
      </c>
      <c r="H19" s="5">
        <v>46128</v>
      </c>
      <c r="I19" s="4"/>
    </row>
    <row r="20" spans="1:9" ht="15.75" x14ac:dyDescent="0.25">
      <c r="A20" s="4">
        <f t="shared" si="1"/>
        <v>18</v>
      </c>
      <c r="B20" s="4"/>
      <c r="C20" s="4"/>
      <c r="D20" s="5"/>
      <c r="E20" s="4" t="s">
        <v>117</v>
      </c>
      <c r="F20" s="4">
        <v>100</v>
      </c>
      <c r="G20" s="4" t="s">
        <v>30</v>
      </c>
      <c r="H20" s="5">
        <v>46133</v>
      </c>
      <c r="I20" s="4" t="s">
        <v>78</v>
      </c>
    </row>
    <row r="21" spans="1:9" ht="15.75" x14ac:dyDescent="0.25">
      <c r="A21" s="4">
        <f t="shared" si="1"/>
        <v>19</v>
      </c>
      <c r="B21" s="4"/>
      <c r="C21" s="4"/>
      <c r="D21" s="5"/>
      <c r="E21" s="4" t="s">
        <v>120</v>
      </c>
      <c r="F21" s="4">
        <v>150</v>
      </c>
      <c r="G21" s="4" t="s">
        <v>16</v>
      </c>
      <c r="H21" s="5">
        <v>46134</v>
      </c>
      <c r="I21" s="4" t="s">
        <v>121</v>
      </c>
    </row>
    <row r="22" spans="1:9" ht="15.75" x14ac:dyDescent="0.25">
      <c r="A22" s="4">
        <f t="shared" ref="A22:A30" si="2">ROW()-2</f>
        <v>20</v>
      </c>
      <c r="B22" s="4" t="s">
        <v>125</v>
      </c>
      <c r="C22" s="4">
        <v>500</v>
      </c>
      <c r="D22" s="5">
        <v>46158</v>
      </c>
      <c r="E22" s="4" t="s">
        <v>126</v>
      </c>
      <c r="F22" s="4">
        <v>100</v>
      </c>
      <c r="G22" s="4" t="s">
        <v>30</v>
      </c>
      <c r="H22" s="5">
        <v>46158</v>
      </c>
      <c r="I22" s="4" t="s">
        <v>127</v>
      </c>
    </row>
    <row r="23" spans="1:9" ht="15.75" x14ac:dyDescent="0.25">
      <c r="A23" s="4">
        <f t="shared" si="2"/>
        <v>21</v>
      </c>
      <c r="B23" s="4"/>
      <c r="C23" s="4"/>
      <c r="D23" s="5"/>
      <c r="E23" s="4" t="s">
        <v>128</v>
      </c>
      <c r="F23" s="4">
        <v>150</v>
      </c>
      <c r="G23" s="4" t="s">
        <v>16</v>
      </c>
      <c r="H23" s="5">
        <v>46158</v>
      </c>
      <c r="I23" s="4" t="s">
        <v>129</v>
      </c>
    </row>
    <row r="24" spans="1:9" ht="15.75" x14ac:dyDescent="0.25">
      <c r="A24" s="4">
        <f t="shared" si="2"/>
        <v>22</v>
      </c>
      <c r="B24" s="4"/>
      <c r="C24" s="4"/>
      <c r="D24" s="5"/>
      <c r="E24" s="4" t="s">
        <v>139</v>
      </c>
      <c r="F24" s="4">
        <v>100</v>
      </c>
      <c r="G24" s="4" t="s">
        <v>70</v>
      </c>
      <c r="H24" s="5">
        <v>46172</v>
      </c>
      <c r="I24" s="4" t="s">
        <v>135</v>
      </c>
    </row>
    <row r="25" spans="1:9" ht="15.75" x14ac:dyDescent="0.25">
      <c r="A25" s="4">
        <f t="shared" si="2"/>
        <v>23</v>
      </c>
      <c r="B25" s="4" t="s">
        <v>142</v>
      </c>
      <c r="C25" s="4">
        <v>197</v>
      </c>
      <c r="D25" s="5">
        <v>46181</v>
      </c>
      <c r="E25" s="4" t="s">
        <v>140</v>
      </c>
      <c r="F25" s="4">
        <v>50</v>
      </c>
      <c r="G25" s="4" t="s">
        <v>30</v>
      </c>
      <c r="H25" s="5">
        <v>46175</v>
      </c>
      <c r="I25" s="4" t="s">
        <v>141</v>
      </c>
    </row>
    <row r="26" spans="1:9" ht="15.75" x14ac:dyDescent="0.25">
      <c r="A26" s="4">
        <f>ROW()-2</f>
        <v>24</v>
      </c>
      <c r="B26" s="4"/>
      <c r="C26" s="4"/>
      <c r="D26" s="5"/>
      <c r="E26" s="4" t="s">
        <v>148</v>
      </c>
      <c r="F26" s="4">
        <v>50</v>
      </c>
      <c r="G26" s="4" t="s">
        <v>16</v>
      </c>
      <c r="H26" s="5">
        <v>46176</v>
      </c>
      <c r="I26" s="4" t="s">
        <v>149</v>
      </c>
    </row>
    <row r="27" spans="1:9" ht="15.75" x14ac:dyDescent="0.25">
      <c r="A27" s="4">
        <f t="shared" si="2"/>
        <v>25</v>
      </c>
      <c r="B27" s="4"/>
      <c r="C27" s="4"/>
      <c r="D27" s="5"/>
      <c r="E27" s="4" t="s">
        <v>143</v>
      </c>
      <c r="F27" s="4">
        <v>150</v>
      </c>
      <c r="G27" s="4" t="s">
        <v>30</v>
      </c>
      <c r="H27" s="5">
        <v>46181</v>
      </c>
      <c r="I27" s="4"/>
    </row>
    <row r="28" spans="1:9" ht="15.75" x14ac:dyDescent="0.25">
      <c r="A28" s="4">
        <f t="shared" si="2"/>
        <v>26</v>
      </c>
      <c r="B28" s="4"/>
      <c r="C28" s="4"/>
      <c r="D28" s="5"/>
      <c r="E28" s="4" t="s">
        <v>145</v>
      </c>
      <c r="F28" s="4">
        <v>45</v>
      </c>
      <c r="G28" s="4" t="s">
        <v>16</v>
      </c>
      <c r="H28" s="5">
        <v>46185</v>
      </c>
      <c r="I28" s="4" t="s">
        <v>129</v>
      </c>
    </row>
    <row r="29" spans="1:9" ht="15.75" x14ac:dyDescent="0.25">
      <c r="A29" s="4">
        <f t="shared" si="2"/>
        <v>27</v>
      </c>
      <c r="B29" s="4" t="s">
        <v>159</v>
      </c>
      <c r="C29" s="4">
        <v>750</v>
      </c>
      <c r="D29" s="5">
        <v>46189</v>
      </c>
      <c r="E29" s="4" t="s">
        <v>146</v>
      </c>
      <c r="F29" s="4">
        <v>47</v>
      </c>
      <c r="G29" s="4" t="s">
        <v>16</v>
      </c>
      <c r="H29" s="5">
        <v>46185</v>
      </c>
      <c r="I29" s="4" t="s">
        <v>129</v>
      </c>
    </row>
    <row r="30" spans="1:9" ht="15.75" x14ac:dyDescent="0.25">
      <c r="A30" s="4">
        <f t="shared" si="2"/>
        <v>28</v>
      </c>
      <c r="B30" s="4"/>
      <c r="C30" s="4"/>
      <c r="D30" s="5"/>
      <c r="E30" s="4" t="s">
        <v>160</v>
      </c>
      <c r="F30" s="4">
        <v>250</v>
      </c>
      <c r="G30" s="4" t="s">
        <v>16</v>
      </c>
      <c r="H30" s="5">
        <v>46191</v>
      </c>
      <c r="I30" s="4" t="s">
        <v>161</v>
      </c>
    </row>
    <row r="31" spans="1:9" ht="15.75" x14ac:dyDescent="0.25">
      <c r="A31" s="4">
        <f t="shared" ref="A31:A36" si="3">ROW()-2</f>
        <v>29</v>
      </c>
      <c r="B31" s="4"/>
      <c r="C31" s="4"/>
      <c r="D31" s="5"/>
      <c r="E31" s="4" t="s">
        <v>163</v>
      </c>
      <c r="F31" s="4">
        <v>50</v>
      </c>
      <c r="G31" s="4" t="s">
        <v>70</v>
      </c>
      <c r="H31" s="5">
        <v>46202</v>
      </c>
      <c r="I31" s="4" t="s">
        <v>164</v>
      </c>
    </row>
    <row r="32" spans="1:9" ht="15.75" x14ac:dyDescent="0.25">
      <c r="A32" s="4">
        <f t="shared" si="3"/>
        <v>30</v>
      </c>
      <c r="B32" s="4"/>
      <c r="C32" s="4"/>
      <c r="D32" s="5"/>
      <c r="E32" s="4" t="s">
        <v>188</v>
      </c>
      <c r="F32" s="4">
        <v>200</v>
      </c>
      <c r="G32" s="4" t="s">
        <v>30</v>
      </c>
      <c r="H32" s="5">
        <v>46205</v>
      </c>
      <c r="I32" s="4" t="s">
        <v>72</v>
      </c>
    </row>
    <row r="33" spans="1:9" ht="15.75" x14ac:dyDescent="0.25">
      <c r="A33" s="4">
        <f t="shared" si="3"/>
        <v>31</v>
      </c>
      <c r="B33" s="4"/>
      <c r="C33" s="4"/>
      <c r="D33" s="5"/>
      <c r="E33" s="4" t="s">
        <v>198</v>
      </c>
      <c r="F33" s="4">
        <v>50</v>
      </c>
      <c r="G33" s="4" t="s">
        <v>70</v>
      </c>
      <c r="H33" s="5">
        <v>46216</v>
      </c>
      <c r="I33" s="4"/>
    </row>
    <row r="34" spans="1:9" ht="15.75" x14ac:dyDescent="0.25">
      <c r="A34" s="4">
        <f t="shared" si="3"/>
        <v>32</v>
      </c>
      <c r="B34" s="4" t="s">
        <v>205</v>
      </c>
      <c r="C34" s="4">
        <v>500</v>
      </c>
      <c r="D34" s="5">
        <v>46240</v>
      </c>
      <c r="E34" s="4" t="s">
        <v>199</v>
      </c>
      <c r="F34" s="4">
        <v>100</v>
      </c>
      <c r="G34" s="4" t="s">
        <v>16</v>
      </c>
      <c r="H34" s="5">
        <v>46220</v>
      </c>
      <c r="I34" s="4" t="s">
        <v>200</v>
      </c>
    </row>
    <row r="35" spans="1:9" ht="15.75" x14ac:dyDescent="0.25">
      <c r="A35" s="4">
        <f t="shared" si="3"/>
        <v>33</v>
      </c>
      <c r="B35" s="4" t="s">
        <v>206</v>
      </c>
      <c r="C35" s="4">
        <v>250</v>
      </c>
      <c r="D35" s="5">
        <v>46240</v>
      </c>
      <c r="E35" s="4" t="s">
        <v>207</v>
      </c>
      <c r="F35" s="4">
        <v>250</v>
      </c>
      <c r="G35" s="4" t="s">
        <v>16</v>
      </c>
      <c r="H35" s="5">
        <v>46240</v>
      </c>
      <c r="I35" s="4" t="s">
        <v>72</v>
      </c>
    </row>
    <row r="36" spans="1:9" ht="15.75" x14ac:dyDescent="0.25">
      <c r="A36" s="4">
        <f t="shared" si="3"/>
        <v>34</v>
      </c>
      <c r="B36" s="4"/>
      <c r="C36" s="4"/>
      <c r="D36" s="5"/>
      <c r="E36" s="4" t="s">
        <v>214</v>
      </c>
      <c r="F36" s="4">
        <v>100</v>
      </c>
      <c r="G36" s="4" t="s">
        <v>16</v>
      </c>
      <c r="H36" s="5">
        <v>46263</v>
      </c>
      <c r="I36" s="4" t="s">
        <v>161</v>
      </c>
    </row>
    <row r="37" spans="1:9" ht="15.75" x14ac:dyDescent="0.25">
      <c r="A37" s="4">
        <f t="shared" ref="A37:A44" si="4">ROW()-2</f>
        <v>35</v>
      </c>
      <c r="B37" s="4" t="s">
        <v>215</v>
      </c>
      <c r="C37" s="4">
        <v>750</v>
      </c>
      <c r="D37" s="5">
        <v>46273</v>
      </c>
      <c r="E37" s="4" t="s">
        <v>216</v>
      </c>
      <c r="F37" s="4">
        <v>250</v>
      </c>
      <c r="G37" s="4" t="s">
        <v>30</v>
      </c>
      <c r="H37" s="5">
        <v>46277</v>
      </c>
      <c r="I37" s="4"/>
    </row>
    <row r="38" spans="1:9" ht="15.75" x14ac:dyDescent="0.25">
      <c r="A38" s="4">
        <f t="shared" si="4"/>
        <v>36</v>
      </c>
      <c r="B38" s="4"/>
      <c r="C38" s="4"/>
      <c r="D38" s="5"/>
      <c r="E38" s="4" t="s">
        <v>217</v>
      </c>
      <c r="F38" s="4">
        <v>250</v>
      </c>
      <c r="G38" s="4" t="s">
        <v>16</v>
      </c>
      <c r="H38" s="5">
        <v>46277</v>
      </c>
      <c r="I38" s="4"/>
    </row>
    <row r="39" spans="1:9" ht="15.75" x14ac:dyDescent="0.25">
      <c r="A39" s="4">
        <f t="shared" si="4"/>
        <v>37</v>
      </c>
      <c r="B39" s="4"/>
      <c r="C39" s="4"/>
      <c r="D39" s="5"/>
      <c r="E39" s="4" t="s">
        <v>231</v>
      </c>
      <c r="F39" s="4">
        <v>50</v>
      </c>
      <c r="G39" s="4" t="s">
        <v>70</v>
      </c>
      <c r="H39" s="5">
        <v>46309</v>
      </c>
      <c r="I39" s="4"/>
    </row>
    <row r="40" spans="1:9" ht="15.75" x14ac:dyDescent="0.25">
      <c r="A40" s="4">
        <f t="shared" si="4"/>
        <v>38</v>
      </c>
      <c r="B40" s="4"/>
      <c r="C40" s="4"/>
      <c r="D40" s="5"/>
      <c r="E40" s="4" t="s">
        <v>232</v>
      </c>
      <c r="F40" s="4">
        <v>50</v>
      </c>
      <c r="G40" s="4" t="s">
        <v>30</v>
      </c>
      <c r="H40" s="5">
        <v>46309</v>
      </c>
      <c r="I40" s="4" t="s">
        <v>234</v>
      </c>
    </row>
    <row r="41" spans="1:9" ht="15.75" x14ac:dyDescent="0.25">
      <c r="A41" s="4">
        <f t="shared" si="4"/>
        <v>39</v>
      </c>
      <c r="B41" s="4"/>
      <c r="C41" s="4"/>
      <c r="D41" s="5"/>
      <c r="E41" s="4" t="s">
        <v>233</v>
      </c>
      <c r="F41" s="4">
        <v>150</v>
      </c>
      <c r="G41" s="4" t="s">
        <v>16</v>
      </c>
      <c r="H41" s="5">
        <v>46309</v>
      </c>
      <c r="I41" s="4" t="s">
        <v>161</v>
      </c>
    </row>
    <row r="42" spans="1:9" ht="15.75" x14ac:dyDescent="0.25">
      <c r="A42" s="4">
        <f t="shared" si="4"/>
        <v>40</v>
      </c>
      <c r="B42" s="4" t="s">
        <v>235</v>
      </c>
      <c r="C42" s="4">
        <v>250</v>
      </c>
      <c r="D42" s="5">
        <v>46325</v>
      </c>
      <c r="E42" s="4" t="s">
        <v>236</v>
      </c>
      <c r="F42" s="4">
        <v>50</v>
      </c>
      <c r="G42" s="4" t="s">
        <v>30</v>
      </c>
      <c r="H42" s="5">
        <v>46325</v>
      </c>
      <c r="I42" s="4"/>
    </row>
    <row r="43" spans="1:9" ht="15.75" x14ac:dyDescent="0.25">
      <c r="A43" s="4">
        <f t="shared" si="4"/>
        <v>41</v>
      </c>
      <c r="B43" s="4"/>
      <c r="C43" s="4"/>
      <c r="D43" s="5"/>
      <c r="E43" s="4" t="s">
        <v>237</v>
      </c>
      <c r="F43" s="4">
        <v>30</v>
      </c>
      <c r="G43" s="4" t="s">
        <v>70</v>
      </c>
      <c r="H43" s="5">
        <v>46325</v>
      </c>
      <c r="I43" s="4" t="s">
        <v>164</v>
      </c>
    </row>
    <row r="44" spans="1:9" ht="15.75" x14ac:dyDescent="0.25">
      <c r="A44" s="4">
        <f t="shared" si="4"/>
        <v>42</v>
      </c>
      <c r="B44" s="4"/>
      <c r="C44" s="4"/>
      <c r="D44" s="5"/>
      <c r="E44" s="4" t="s">
        <v>238</v>
      </c>
      <c r="F44" s="4">
        <v>120</v>
      </c>
      <c r="G44" s="4" t="s">
        <v>16</v>
      </c>
      <c r="H44" s="5">
        <v>46325</v>
      </c>
      <c r="I44" s="4"/>
    </row>
    <row r="45" spans="1:9" ht="15.75" x14ac:dyDescent="0.25">
      <c r="A45" s="4">
        <f>ROW()-2</f>
        <v>43</v>
      </c>
      <c r="B45" s="4"/>
      <c r="C45" s="4"/>
      <c r="D45" s="5"/>
      <c r="E45" s="4"/>
      <c r="F45" s="4"/>
      <c r="G45" s="4"/>
      <c r="H45" s="5"/>
      <c r="I45" s="4"/>
    </row>
    <row r="46" spans="1:9" ht="15.75" x14ac:dyDescent="0.25">
      <c r="A46" s="4">
        <f>ROW()-2</f>
        <v>44</v>
      </c>
      <c r="B46" s="4"/>
      <c r="C46" s="4"/>
      <c r="D46" s="5"/>
      <c r="E46" s="4"/>
      <c r="F46" s="4"/>
      <c r="G46" s="4"/>
      <c r="H46" s="5"/>
      <c r="I46" s="4"/>
    </row>
    <row r="47" spans="1:9" ht="15.75" x14ac:dyDescent="0.25">
      <c r="A47" s="4">
        <f t="shared" si="0"/>
        <v>45</v>
      </c>
      <c r="B47" s="7" t="s">
        <v>153</v>
      </c>
      <c r="C47" s="7">
        <f>SUM(C3:C38)</f>
        <v>5947</v>
      </c>
      <c r="D47" s="4"/>
      <c r="E47" s="7" t="s">
        <v>153</v>
      </c>
      <c r="F47" s="7">
        <f>SUM(F3:F44)</f>
        <v>4892</v>
      </c>
      <c r="G47" s="4"/>
      <c r="H47" s="5"/>
      <c r="I47" s="4"/>
    </row>
  </sheetData>
  <mergeCells count="1">
    <mergeCell ref="A1:I1"/>
  </mergeCells>
  <phoneticPr fontId="4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32C1-7F8B-4592-901A-51A1E632DC96}">
  <dimension ref="A1:H64"/>
  <sheetViews>
    <sheetView topLeftCell="A41" workbookViewId="0">
      <selection activeCell="C60" sqref="C60"/>
    </sheetView>
  </sheetViews>
  <sheetFormatPr defaultColWidth="37.140625" defaultRowHeight="15" x14ac:dyDescent="0.25"/>
  <cols>
    <col min="1" max="1" width="12.7109375" customWidth="1"/>
    <col min="4" max="4" width="18.7109375" customWidth="1"/>
    <col min="5" max="5" width="20.140625" customWidth="1"/>
    <col min="6" max="6" width="17.5703125" customWidth="1"/>
    <col min="7" max="7" width="26.85546875" customWidth="1"/>
  </cols>
  <sheetData>
    <row r="1" spans="1:8" ht="36" x14ac:dyDescent="0.55000000000000004">
      <c r="A1" s="10" t="s">
        <v>8</v>
      </c>
      <c r="B1" s="10"/>
      <c r="C1" s="10"/>
      <c r="D1" s="10"/>
      <c r="E1" s="10"/>
      <c r="F1" s="10"/>
      <c r="G1" s="10"/>
      <c r="H1" s="10"/>
    </row>
    <row r="2" spans="1:8" ht="15.75" x14ac:dyDescent="0.25">
      <c r="A2" s="4" t="s">
        <v>0</v>
      </c>
      <c r="B2" s="6" t="s">
        <v>9</v>
      </c>
      <c r="C2" s="6" t="s">
        <v>10</v>
      </c>
      <c r="D2" s="6" t="s">
        <v>65</v>
      </c>
      <c r="E2" s="4" t="s">
        <v>11</v>
      </c>
      <c r="F2" s="4" t="s">
        <v>12</v>
      </c>
      <c r="G2" s="4" t="s">
        <v>14</v>
      </c>
      <c r="H2" s="4" t="s">
        <v>15</v>
      </c>
    </row>
    <row r="3" spans="1:8" ht="15.75" x14ac:dyDescent="0.25">
      <c r="A3" s="4">
        <f t="shared" ref="A3:A34" si="0">ROW()-2</f>
        <v>1</v>
      </c>
      <c r="B3" s="6" t="s">
        <v>26</v>
      </c>
      <c r="C3" s="6" t="s">
        <v>23</v>
      </c>
      <c r="D3" s="6" t="s">
        <v>66</v>
      </c>
      <c r="E3" s="4" t="s">
        <v>17</v>
      </c>
      <c r="F3" s="4">
        <v>20</v>
      </c>
      <c r="G3" s="5">
        <v>45985</v>
      </c>
      <c r="H3" s="4" t="s">
        <v>20</v>
      </c>
    </row>
    <row r="4" spans="1:8" ht="15.75" x14ac:dyDescent="0.25">
      <c r="A4" s="4">
        <f t="shared" si="0"/>
        <v>2</v>
      </c>
      <c r="B4" s="6" t="s">
        <v>23</v>
      </c>
      <c r="C4" s="6" t="s">
        <v>24</v>
      </c>
      <c r="D4" s="6" t="s">
        <v>66</v>
      </c>
      <c r="E4" s="4" t="s">
        <v>13</v>
      </c>
      <c r="F4" s="4">
        <v>100</v>
      </c>
      <c r="G4" s="5">
        <v>45985</v>
      </c>
      <c r="H4" s="4"/>
    </row>
    <row r="5" spans="1:8" ht="15.75" x14ac:dyDescent="0.25">
      <c r="A5" s="4">
        <f t="shared" si="0"/>
        <v>3</v>
      </c>
      <c r="B5" s="6" t="s">
        <v>24</v>
      </c>
      <c r="C5" s="6" t="s">
        <v>27</v>
      </c>
      <c r="D5" s="6" t="s">
        <v>66</v>
      </c>
      <c r="E5" s="4" t="s">
        <v>16</v>
      </c>
      <c r="F5" s="4">
        <v>100</v>
      </c>
      <c r="G5" s="5">
        <v>45985</v>
      </c>
      <c r="H5" s="4"/>
    </row>
    <row r="6" spans="1:8" ht="15.75" x14ac:dyDescent="0.25">
      <c r="A6" s="4">
        <f t="shared" si="0"/>
        <v>4</v>
      </c>
      <c r="B6" s="6" t="s">
        <v>25</v>
      </c>
      <c r="C6" s="6" t="s">
        <v>29</v>
      </c>
      <c r="D6" s="6" t="s">
        <v>66</v>
      </c>
      <c r="E6" s="4" t="s">
        <v>17</v>
      </c>
      <c r="F6" s="4">
        <v>30</v>
      </c>
      <c r="G6" s="5">
        <v>45985</v>
      </c>
      <c r="H6" s="4" t="s">
        <v>19</v>
      </c>
    </row>
    <row r="7" spans="1:8" ht="15.75" x14ac:dyDescent="0.25">
      <c r="A7" s="4">
        <f t="shared" si="0"/>
        <v>5</v>
      </c>
      <c r="B7" s="6" t="s">
        <v>27</v>
      </c>
      <c r="C7" s="6" t="s">
        <v>28</v>
      </c>
      <c r="D7" s="6" t="s">
        <v>66</v>
      </c>
      <c r="E7" s="4" t="s">
        <v>17</v>
      </c>
      <c r="F7" s="4">
        <v>100</v>
      </c>
      <c r="G7" s="5">
        <v>45986</v>
      </c>
      <c r="H7" s="4"/>
    </row>
    <row r="8" spans="1:8" ht="15.75" x14ac:dyDescent="0.25">
      <c r="A8" s="4">
        <f t="shared" si="0"/>
        <v>6</v>
      </c>
      <c r="B8" s="6" t="s">
        <v>35</v>
      </c>
      <c r="C8" s="6" t="s">
        <v>36</v>
      </c>
      <c r="D8" s="6" t="s">
        <v>66</v>
      </c>
      <c r="E8" s="4" t="s">
        <v>32</v>
      </c>
      <c r="F8" s="4">
        <v>10</v>
      </c>
      <c r="G8" s="5">
        <v>46013</v>
      </c>
      <c r="H8" s="4" t="s">
        <v>34</v>
      </c>
    </row>
    <row r="9" spans="1:8" ht="15.75" x14ac:dyDescent="0.25">
      <c r="A9" s="4">
        <f t="shared" si="0"/>
        <v>7</v>
      </c>
      <c r="B9" s="6" t="s">
        <v>45</v>
      </c>
      <c r="C9" s="6" t="s">
        <v>45</v>
      </c>
      <c r="D9" s="6" t="s">
        <v>66</v>
      </c>
      <c r="E9" s="4" t="s">
        <v>16</v>
      </c>
      <c r="F9" s="4">
        <v>1</v>
      </c>
      <c r="G9" s="5">
        <v>46018</v>
      </c>
      <c r="H9" s="4" t="s">
        <v>44</v>
      </c>
    </row>
    <row r="10" spans="1:8" ht="15.75" x14ac:dyDescent="0.25">
      <c r="A10" s="4">
        <f t="shared" si="0"/>
        <v>8</v>
      </c>
      <c r="B10" s="6" t="s">
        <v>43</v>
      </c>
      <c r="C10" s="6" t="s">
        <v>29</v>
      </c>
      <c r="D10" s="6" t="s">
        <v>66</v>
      </c>
      <c r="E10" s="4" t="s">
        <v>16</v>
      </c>
      <c r="F10" s="4">
        <v>29</v>
      </c>
      <c r="G10" s="5">
        <v>46018</v>
      </c>
      <c r="H10" s="4" t="s">
        <v>44</v>
      </c>
    </row>
    <row r="11" spans="1:8" ht="15.75" x14ac:dyDescent="0.25">
      <c r="A11" s="4">
        <f t="shared" si="0"/>
        <v>9</v>
      </c>
      <c r="B11" s="6" t="s">
        <v>46</v>
      </c>
      <c r="C11" s="6" t="s">
        <v>47</v>
      </c>
      <c r="D11" s="6" t="s">
        <v>66</v>
      </c>
      <c r="E11" s="6" t="s">
        <v>16</v>
      </c>
      <c r="F11" s="4">
        <v>100</v>
      </c>
      <c r="G11" s="4"/>
      <c r="H11" s="4" t="s">
        <v>48</v>
      </c>
    </row>
    <row r="12" spans="1:8" ht="15.75" x14ac:dyDescent="0.25">
      <c r="A12" s="4">
        <f t="shared" si="0"/>
        <v>10</v>
      </c>
      <c r="B12" s="6" t="s">
        <v>83</v>
      </c>
      <c r="C12" s="6" t="s">
        <v>84</v>
      </c>
      <c r="D12" s="6" t="s">
        <v>66</v>
      </c>
      <c r="E12" s="4" t="s">
        <v>16</v>
      </c>
      <c r="F12" s="4">
        <v>10</v>
      </c>
      <c r="G12" s="5">
        <v>46062</v>
      </c>
      <c r="H12" s="4" t="s">
        <v>44</v>
      </c>
    </row>
    <row r="13" spans="1:8" ht="15.75" x14ac:dyDescent="0.25">
      <c r="A13" s="4">
        <f t="shared" si="0"/>
        <v>11</v>
      </c>
      <c r="B13" s="6" t="s">
        <v>52</v>
      </c>
      <c r="C13" s="6" t="s">
        <v>51</v>
      </c>
      <c r="D13" s="6" t="s">
        <v>67</v>
      </c>
      <c r="E13" s="6" t="s">
        <v>16</v>
      </c>
      <c r="F13" s="4">
        <v>100</v>
      </c>
      <c r="G13" s="5">
        <v>46025</v>
      </c>
      <c r="H13" s="4" t="s">
        <v>53</v>
      </c>
    </row>
    <row r="14" spans="1:8" ht="15.75" x14ac:dyDescent="0.25">
      <c r="A14" s="4">
        <f t="shared" si="0"/>
        <v>12</v>
      </c>
      <c r="B14" s="6" t="s">
        <v>81</v>
      </c>
      <c r="C14" s="6" t="s">
        <v>82</v>
      </c>
      <c r="D14" s="6" t="s">
        <v>67</v>
      </c>
      <c r="E14" s="6" t="s">
        <v>13</v>
      </c>
      <c r="F14" s="4">
        <v>100</v>
      </c>
      <c r="G14" s="5">
        <v>46027</v>
      </c>
      <c r="H14" s="4" t="s">
        <v>78</v>
      </c>
    </row>
    <row r="15" spans="1:8" ht="15.75" x14ac:dyDescent="0.25">
      <c r="A15" s="4">
        <f t="shared" si="0"/>
        <v>13</v>
      </c>
      <c r="B15" s="6" t="s">
        <v>55</v>
      </c>
      <c r="C15" s="6" t="s">
        <v>54</v>
      </c>
      <c r="D15" s="6" t="s">
        <v>67</v>
      </c>
      <c r="E15" s="4" t="s">
        <v>17</v>
      </c>
      <c r="F15" s="4">
        <v>99</v>
      </c>
      <c r="G15" s="5">
        <v>46026</v>
      </c>
      <c r="H15" s="4" t="s">
        <v>56</v>
      </c>
    </row>
    <row r="16" spans="1:8" ht="15.75" x14ac:dyDescent="0.25">
      <c r="A16" s="4">
        <f t="shared" si="0"/>
        <v>14</v>
      </c>
      <c r="B16" s="6" t="s">
        <v>57</v>
      </c>
      <c r="C16" s="6" t="s">
        <v>79</v>
      </c>
      <c r="D16" s="6" t="s">
        <v>67</v>
      </c>
      <c r="E16" s="4" t="s">
        <v>13</v>
      </c>
      <c r="F16" s="4">
        <v>25</v>
      </c>
      <c r="G16" s="5">
        <v>46042</v>
      </c>
      <c r="H16" s="4" t="s">
        <v>78</v>
      </c>
    </row>
    <row r="17" spans="1:8" ht="15.75" x14ac:dyDescent="0.25">
      <c r="A17" s="4">
        <f t="shared" si="0"/>
        <v>15</v>
      </c>
      <c r="B17" s="6" t="s">
        <v>60</v>
      </c>
      <c r="C17" s="6" t="s">
        <v>59</v>
      </c>
      <c r="D17" s="6" t="s">
        <v>67</v>
      </c>
      <c r="E17" s="4" t="s">
        <v>16</v>
      </c>
      <c r="F17" s="4">
        <v>98</v>
      </c>
      <c r="G17" s="5">
        <v>46032</v>
      </c>
      <c r="H17" s="4" t="s">
        <v>61</v>
      </c>
    </row>
    <row r="18" spans="1:8" ht="15.75" x14ac:dyDescent="0.25">
      <c r="A18" s="4">
        <f t="shared" si="0"/>
        <v>16</v>
      </c>
      <c r="B18" s="6" t="s">
        <v>62</v>
      </c>
      <c r="C18" s="6" t="s">
        <v>62</v>
      </c>
      <c r="D18" s="6" t="s">
        <v>67</v>
      </c>
      <c r="E18" s="4" t="s">
        <v>13</v>
      </c>
      <c r="F18" s="4">
        <v>50</v>
      </c>
      <c r="G18" s="5">
        <v>46042</v>
      </c>
      <c r="H18" s="4" t="s">
        <v>78</v>
      </c>
    </row>
    <row r="19" spans="1:8" ht="15.75" x14ac:dyDescent="0.25">
      <c r="A19" s="4">
        <f t="shared" si="0"/>
        <v>17</v>
      </c>
      <c r="B19" s="6" t="s">
        <v>63</v>
      </c>
      <c r="C19" s="6" t="s">
        <v>64</v>
      </c>
      <c r="D19" s="6" t="s">
        <v>67</v>
      </c>
      <c r="E19" s="4" t="s">
        <v>68</v>
      </c>
      <c r="F19" s="4">
        <v>4</v>
      </c>
      <c r="G19" s="5">
        <v>46032</v>
      </c>
      <c r="H19" s="4" t="s">
        <v>69</v>
      </c>
    </row>
    <row r="20" spans="1:8" ht="15.75" x14ac:dyDescent="0.25">
      <c r="A20" s="4">
        <f t="shared" si="0"/>
        <v>18</v>
      </c>
      <c r="B20" s="6" t="s">
        <v>80</v>
      </c>
      <c r="C20" s="6" t="s">
        <v>58</v>
      </c>
      <c r="D20" s="6" t="s">
        <v>67</v>
      </c>
      <c r="E20" s="4" t="s">
        <v>17</v>
      </c>
      <c r="F20" s="4">
        <v>25</v>
      </c>
      <c r="G20" s="5">
        <v>46031</v>
      </c>
      <c r="H20" s="4"/>
    </row>
    <row r="21" spans="1:8" ht="15.75" x14ac:dyDescent="0.25">
      <c r="A21" s="4">
        <f t="shared" si="0"/>
        <v>19</v>
      </c>
      <c r="B21" s="6" t="s">
        <v>86</v>
      </c>
      <c r="C21" s="6" t="s">
        <v>87</v>
      </c>
      <c r="D21" s="6" t="s">
        <v>85</v>
      </c>
      <c r="E21" s="4" t="s">
        <v>13</v>
      </c>
      <c r="F21" s="4">
        <v>100</v>
      </c>
      <c r="G21" s="5">
        <v>46065</v>
      </c>
      <c r="H21" s="4"/>
    </row>
    <row r="22" spans="1:8" ht="15.75" x14ac:dyDescent="0.25">
      <c r="A22" s="4">
        <f t="shared" si="0"/>
        <v>20</v>
      </c>
      <c r="B22" s="6" t="s">
        <v>88</v>
      </c>
      <c r="C22" s="6" t="s">
        <v>89</v>
      </c>
      <c r="D22" s="6" t="s">
        <v>85</v>
      </c>
      <c r="E22" s="4" t="s">
        <v>16</v>
      </c>
      <c r="F22" s="4">
        <v>200</v>
      </c>
      <c r="G22" s="5">
        <v>46065</v>
      </c>
      <c r="H22" s="4"/>
    </row>
    <row r="23" spans="1:8" ht="15.75" x14ac:dyDescent="0.25">
      <c r="A23" s="4">
        <f t="shared" si="0"/>
        <v>21</v>
      </c>
      <c r="B23" s="6" t="s">
        <v>91</v>
      </c>
      <c r="C23" s="6" t="s">
        <v>91</v>
      </c>
      <c r="D23" s="6" t="s">
        <v>85</v>
      </c>
      <c r="E23" s="4" t="s">
        <v>17</v>
      </c>
      <c r="F23" s="4">
        <v>1</v>
      </c>
      <c r="G23" s="5">
        <v>46070</v>
      </c>
      <c r="H23" s="4"/>
    </row>
    <row r="24" spans="1:8" ht="15.75" x14ac:dyDescent="0.25">
      <c r="A24" s="4">
        <f t="shared" si="0"/>
        <v>22</v>
      </c>
      <c r="B24" s="6" t="s">
        <v>93</v>
      </c>
      <c r="C24" s="6" t="s">
        <v>92</v>
      </c>
      <c r="D24" s="6" t="s">
        <v>85</v>
      </c>
      <c r="E24" s="4" t="s">
        <v>17</v>
      </c>
      <c r="F24" s="4">
        <v>24</v>
      </c>
      <c r="G24" s="5">
        <v>46070</v>
      </c>
      <c r="H24" s="4"/>
    </row>
    <row r="25" spans="1:8" ht="15.75" x14ac:dyDescent="0.25">
      <c r="A25" s="4">
        <f t="shared" si="0"/>
        <v>23</v>
      </c>
      <c r="B25" s="6" t="s">
        <v>94</v>
      </c>
      <c r="C25" s="6" t="s">
        <v>95</v>
      </c>
      <c r="D25" s="6" t="s">
        <v>85</v>
      </c>
      <c r="E25" s="4" t="s">
        <v>17</v>
      </c>
      <c r="F25" s="4">
        <v>50</v>
      </c>
      <c r="G25" s="5">
        <v>46081</v>
      </c>
      <c r="H25" s="4"/>
    </row>
    <row r="26" spans="1:8" ht="15.75" x14ac:dyDescent="0.25">
      <c r="A26" s="4">
        <f t="shared" si="0"/>
        <v>24</v>
      </c>
      <c r="B26" s="6" t="s">
        <v>103</v>
      </c>
      <c r="C26" s="6" t="s">
        <v>104</v>
      </c>
      <c r="D26" s="6" t="s">
        <v>85</v>
      </c>
      <c r="E26" s="4" t="s">
        <v>16</v>
      </c>
      <c r="F26" s="4">
        <v>50</v>
      </c>
      <c r="G26" s="5">
        <v>46100</v>
      </c>
      <c r="H26" s="4" t="s">
        <v>102</v>
      </c>
    </row>
    <row r="27" spans="1:8" ht="15.75" x14ac:dyDescent="0.25">
      <c r="A27" s="4">
        <f t="shared" si="0"/>
        <v>25</v>
      </c>
      <c r="B27" s="6" t="s">
        <v>108</v>
      </c>
      <c r="C27" s="6" t="s">
        <v>112</v>
      </c>
      <c r="D27" s="6" t="s">
        <v>107</v>
      </c>
      <c r="E27" s="4" t="s">
        <v>16</v>
      </c>
      <c r="F27" s="4">
        <v>200</v>
      </c>
      <c r="G27" s="5">
        <v>46112</v>
      </c>
      <c r="H27" s="4"/>
    </row>
    <row r="28" spans="1:8" ht="15.75" x14ac:dyDescent="0.25">
      <c r="A28" s="4">
        <f t="shared" si="0"/>
        <v>26</v>
      </c>
      <c r="B28" s="6" t="s">
        <v>109</v>
      </c>
      <c r="C28" s="6" t="s">
        <v>110</v>
      </c>
      <c r="D28" s="6" t="s">
        <v>107</v>
      </c>
      <c r="E28" s="4" t="s">
        <v>16</v>
      </c>
      <c r="F28" s="4">
        <v>50</v>
      </c>
      <c r="G28" s="5">
        <v>46112</v>
      </c>
      <c r="H28" s="4"/>
    </row>
    <row r="29" spans="1:8" ht="15.75" x14ac:dyDescent="0.25">
      <c r="A29" s="4">
        <f t="shared" si="0"/>
        <v>27</v>
      </c>
      <c r="B29" s="6" t="s">
        <v>113</v>
      </c>
      <c r="C29" s="6" t="s">
        <v>114</v>
      </c>
      <c r="D29" s="6" t="s">
        <v>107</v>
      </c>
      <c r="E29" s="4" t="s">
        <v>13</v>
      </c>
      <c r="F29" s="4">
        <v>200</v>
      </c>
      <c r="G29" s="5">
        <v>46113</v>
      </c>
      <c r="H29" s="4"/>
    </row>
    <row r="30" spans="1:8" ht="15.75" x14ac:dyDescent="0.25">
      <c r="A30" s="4">
        <f t="shared" si="0"/>
        <v>28</v>
      </c>
      <c r="B30" s="6" t="s">
        <v>118</v>
      </c>
      <c r="C30" s="6" t="s">
        <v>119</v>
      </c>
      <c r="D30" s="6" t="s">
        <v>107</v>
      </c>
      <c r="E30" s="4" t="s">
        <v>17</v>
      </c>
      <c r="F30" s="4">
        <v>50</v>
      </c>
      <c r="G30" s="5">
        <v>46134</v>
      </c>
      <c r="H30" s="4"/>
    </row>
    <row r="31" spans="1:8" ht="15.75" x14ac:dyDescent="0.25">
      <c r="A31" s="4">
        <f t="shared" si="0"/>
        <v>29</v>
      </c>
      <c r="B31" s="6" t="s">
        <v>122</v>
      </c>
      <c r="C31" s="6" t="s">
        <v>123</v>
      </c>
      <c r="D31" s="6" t="s">
        <v>124</v>
      </c>
      <c r="E31" s="4" t="s">
        <v>17</v>
      </c>
      <c r="F31" s="4">
        <v>50</v>
      </c>
      <c r="G31" s="5">
        <v>46146</v>
      </c>
      <c r="H31" s="4"/>
    </row>
    <row r="32" spans="1:8" ht="15.75" x14ac:dyDescent="0.25">
      <c r="A32" s="4">
        <f t="shared" si="0"/>
        <v>30</v>
      </c>
      <c r="B32" s="6" t="s">
        <v>130</v>
      </c>
      <c r="C32" s="6" t="s">
        <v>132</v>
      </c>
      <c r="D32" s="6" t="s">
        <v>124</v>
      </c>
      <c r="E32" s="4" t="s">
        <v>16</v>
      </c>
      <c r="F32" s="4">
        <v>150</v>
      </c>
      <c r="G32" s="5">
        <v>46161</v>
      </c>
      <c r="H32" s="4" t="s">
        <v>48</v>
      </c>
    </row>
    <row r="33" spans="1:8" ht="15.75" x14ac:dyDescent="0.25">
      <c r="A33" s="4">
        <f t="shared" si="0"/>
        <v>31</v>
      </c>
      <c r="B33" s="6" t="s">
        <v>133</v>
      </c>
      <c r="C33" s="6" t="s">
        <v>134</v>
      </c>
      <c r="D33" s="6" t="s">
        <v>124</v>
      </c>
      <c r="E33" s="4" t="s">
        <v>17</v>
      </c>
      <c r="F33" s="4">
        <v>50</v>
      </c>
      <c r="G33" s="5">
        <v>46165</v>
      </c>
      <c r="H33" s="4"/>
    </row>
    <row r="34" spans="1:8" ht="15.75" x14ac:dyDescent="0.25">
      <c r="A34" s="4">
        <f t="shared" si="0"/>
        <v>32</v>
      </c>
      <c r="B34" s="6" t="s">
        <v>136</v>
      </c>
      <c r="C34" s="6" t="s">
        <v>137</v>
      </c>
      <c r="D34" s="6" t="s">
        <v>124</v>
      </c>
      <c r="E34" s="4" t="s">
        <v>13</v>
      </c>
      <c r="F34" s="4">
        <v>100</v>
      </c>
      <c r="G34" s="5">
        <v>46173</v>
      </c>
      <c r="H34" s="4" t="s">
        <v>138</v>
      </c>
    </row>
    <row r="35" spans="1:8" ht="15.75" x14ac:dyDescent="0.25">
      <c r="A35" s="4">
        <f t="shared" ref="A35:A63" si="1">ROW()-2</f>
        <v>33</v>
      </c>
      <c r="B35" s="6" t="s">
        <v>150</v>
      </c>
      <c r="C35" s="6" t="s">
        <v>150</v>
      </c>
      <c r="D35" s="6" t="s">
        <v>124</v>
      </c>
      <c r="E35" s="4" t="s">
        <v>16</v>
      </c>
      <c r="F35" s="4">
        <v>25</v>
      </c>
      <c r="G35" s="5">
        <v>46176</v>
      </c>
      <c r="H35" s="4" t="s">
        <v>149</v>
      </c>
    </row>
    <row r="36" spans="1:8" ht="15.75" x14ac:dyDescent="0.25">
      <c r="A36" s="4">
        <f t="shared" si="1"/>
        <v>34</v>
      </c>
      <c r="B36" s="6" t="s">
        <v>151</v>
      </c>
      <c r="C36" s="6" t="s">
        <v>152</v>
      </c>
      <c r="D36" s="6" t="s">
        <v>124</v>
      </c>
      <c r="E36" s="4" t="s">
        <v>16</v>
      </c>
      <c r="F36" s="4">
        <v>25</v>
      </c>
      <c r="G36" s="5">
        <v>46176</v>
      </c>
      <c r="H36" s="4" t="s">
        <v>149</v>
      </c>
    </row>
    <row r="37" spans="1:8" ht="15.75" x14ac:dyDescent="0.25">
      <c r="A37" s="4">
        <f t="shared" si="1"/>
        <v>35</v>
      </c>
      <c r="B37" s="6" t="s">
        <v>147</v>
      </c>
      <c r="C37" s="6" t="s">
        <v>162</v>
      </c>
      <c r="D37" s="6" t="s">
        <v>124</v>
      </c>
      <c r="E37" s="4" t="s">
        <v>17</v>
      </c>
      <c r="F37" s="4">
        <v>44</v>
      </c>
      <c r="G37" s="5">
        <v>46186</v>
      </c>
      <c r="H37" s="4" t="s">
        <v>135</v>
      </c>
    </row>
    <row r="38" spans="1:8" ht="15.75" x14ac:dyDescent="0.25">
      <c r="A38" s="4">
        <f t="shared" si="1"/>
        <v>36</v>
      </c>
      <c r="B38" s="6" t="s">
        <v>154</v>
      </c>
      <c r="C38" s="6" t="s">
        <v>155</v>
      </c>
      <c r="D38" s="6" t="s">
        <v>124</v>
      </c>
      <c r="E38" s="4" t="s">
        <v>16</v>
      </c>
      <c r="F38" s="4">
        <v>25</v>
      </c>
      <c r="G38" s="5">
        <v>46188</v>
      </c>
      <c r="H38" s="4" t="s">
        <v>156</v>
      </c>
    </row>
    <row r="39" spans="1:8" ht="15.75" x14ac:dyDescent="0.25">
      <c r="A39" s="4">
        <f t="shared" si="1"/>
        <v>37</v>
      </c>
      <c r="B39" s="6" t="s">
        <v>158</v>
      </c>
      <c r="C39" s="6" t="s">
        <v>157</v>
      </c>
      <c r="D39" s="6" t="s">
        <v>124</v>
      </c>
      <c r="E39" s="4" t="s">
        <v>16</v>
      </c>
      <c r="F39" s="4">
        <v>20</v>
      </c>
      <c r="G39" s="5">
        <v>46188</v>
      </c>
      <c r="H39" s="4" t="s">
        <v>156</v>
      </c>
    </row>
    <row r="40" spans="1:8" ht="15.75" x14ac:dyDescent="0.25">
      <c r="A40" s="4">
        <f t="shared" si="1"/>
        <v>38</v>
      </c>
      <c r="B40" s="6" t="s">
        <v>171</v>
      </c>
      <c r="C40" s="6" t="s">
        <v>172</v>
      </c>
      <c r="D40" s="6" t="s">
        <v>131</v>
      </c>
      <c r="E40" s="4" t="s">
        <v>16</v>
      </c>
      <c r="F40" s="4">
        <v>200</v>
      </c>
      <c r="G40" s="5">
        <v>46205</v>
      </c>
      <c r="H40" s="4" t="s">
        <v>201</v>
      </c>
    </row>
    <row r="41" spans="1:8" ht="15.75" x14ac:dyDescent="0.25">
      <c r="A41" s="4">
        <f t="shared" si="1"/>
        <v>39</v>
      </c>
      <c r="B41" s="6" t="s">
        <v>174</v>
      </c>
      <c r="C41" s="6" t="s">
        <v>175</v>
      </c>
      <c r="D41" s="6" t="s">
        <v>131</v>
      </c>
      <c r="E41" s="4" t="s">
        <v>16</v>
      </c>
      <c r="F41" s="4">
        <v>25</v>
      </c>
      <c r="G41" s="5">
        <v>46205</v>
      </c>
      <c r="H41" s="4"/>
    </row>
    <row r="42" spans="1:8" ht="15.75" x14ac:dyDescent="0.25">
      <c r="A42" s="4">
        <f t="shared" si="1"/>
        <v>40</v>
      </c>
      <c r="B42" s="6" t="s">
        <v>176</v>
      </c>
      <c r="C42" s="6" t="s">
        <v>179</v>
      </c>
      <c r="D42" s="6" t="s">
        <v>131</v>
      </c>
      <c r="E42" s="4" t="s">
        <v>13</v>
      </c>
      <c r="F42" s="4">
        <v>185</v>
      </c>
      <c r="G42" s="5">
        <v>46205</v>
      </c>
      <c r="H42" s="4"/>
    </row>
    <row r="43" spans="1:8" ht="15.75" x14ac:dyDescent="0.25">
      <c r="A43" s="4">
        <f t="shared" si="1"/>
        <v>41</v>
      </c>
      <c r="B43" s="6" t="s">
        <v>177</v>
      </c>
      <c r="C43" s="6" t="s">
        <v>178</v>
      </c>
      <c r="D43" s="6" t="s">
        <v>131</v>
      </c>
      <c r="E43" s="4" t="s">
        <v>13</v>
      </c>
      <c r="F43" s="4">
        <v>15</v>
      </c>
      <c r="G43" s="5">
        <v>46205</v>
      </c>
      <c r="H43" s="4"/>
    </row>
    <row r="44" spans="1:8" ht="15.75" x14ac:dyDescent="0.25">
      <c r="A44" s="4">
        <f t="shared" si="1"/>
        <v>42</v>
      </c>
      <c r="B44" s="6" t="s">
        <v>180</v>
      </c>
      <c r="C44" s="6" t="s">
        <v>181</v>
      </c>
      <c r="D44" s="6" t="s">
        <v>131</v>
      </c>
      <c r="E44" s="4" t="s">
        <v>17</v>
      </c>
      <c r="F44" s="4">
        <v>41</v>
      </c>
      <c r="G44" s="5">
        <v>46205</v>
      </c>
      <c r="H44" s="4"/>
    </row>
    <row r="45" spans="1:8" ht="15.75" x14ac:dyDescent="0.25">
      <c r="A45" s="4">
        <f t="shared" si="1"/>
        <v>43</v>
      </c>
      <c r="B45" s="6" t="s">
        <v>182</v>
      </c>
      <c r="C45" s="6" t="s">
        <v>183</v>
      </c>
      <c r="D45" s="6" t="s">
        <v>131</v>
      </c>
      <c r="E45" s="4" t="s">
        <v>17</v>
      </c>
      <c r="F45" s="4">
        <v>24</v>
      </c>
      <c r="G45" s="5">
        <v>46205</v>
      </c>
      <c r="H45" s="4"/>
    </row>
    <row r="46" spans="1:8" ht="15.75" x14ac:dyDescent="0.25">
      <c r="A46" s="4">
        <f t="shared" si="1"/>
        <v>44</v>
      </c>
      <c r="B46" s="6" t="s">
        <v>184</v>
      </c>
      <c r="C46" s="6" t="s">
        <v>185</v>
      </c>
      <c r="D46" s="6" t="s">
        <v>131</v>
      </c>
      <c r="E46" s="4" t="s">
        <v>17</v>
      </c>
      <c r="F46" s="4">
        <v>8</v>
      </c>
      <c r="G46" s="5">
        <v>46205</v>
      </c>
      <c r="H46" s="4"/>
    </row>
    <row r="47" spans="1:8" ht="15.75" x14ac:dyDescent="0.25">
      <c r="A47" s="4">
        <f t="shared" si="1"/>
        <v>45</v>
      </c>
      <c r="B47" s="6" t="s">
        <v>186</v>
      </c>
      <c r="C47" s="6" t="s">
        <v>187</v>
      </c>
      <c r="D47" s="6" t="s">
        <v>131</v>
      </c>
      <c r="E47" s="4" t="s">
        <v>17</v>
      </c>
      <c r="F47" s="4">
        <v>2</v>
      </c>
      <c r="G47" s="5">
        <v>46205</v>
      </c>
      <c r="H47" s="4"/>
    </row>
    <row r="48" spans="1:8" ht="15.75" x14ac:dyDescent="0.25">
      <c r="A48" s="4">
        <f t="shared" si="1"/>
        <v>46</v>
      </c>
      <c r="B48" s="6" t="s">
        <v>203</v>
      </c>
      <c r="C48" s="6" t="s">
        <v>204</v>
      </c>
      <c r="D48" s="6" t="s">
        <v>173</v>
      </c>
      <c r="E48" s="4" t="s">
        <v>195</v>
      </c>
      <c r="F48" s="4">
        <v>200</v>
      </c>
      <c r="G48" s="5">
        <v>46227</v>
      </c>
      <c r="H48" s="4"/>
    </row>
    <row r="49" spans="1:8" ht="15.75" x14ac:dyDescent="0.25">
      <c r="A49" s="4">
        <f t="shared" si="1"/>
        <v>47</v>
      </c>
      <c r="B49" s="6" t="s">
        <v>208</v>
      </c>
      <c r="C49" s="6" t="s">
        <v>209</v>
      </c>
      <c r="D49" s="6" t="s">
        <v>173</v>
      </c>
      <c r="E49" s="4" t="s">
        <v>13</v>
      </c>
      <c r="F49" s="4">
        <v>150</v>
      </c>
      <c r="G49" s="5">
        <v>46253</v>
      </c>
      <c r="H49" s="4" t="s">
        <v>210</v>
      </c>
    </row>
    <row r="50" spans="1:8" ht="15.75" x14ac:dyDescent="0.25">
      <c r="A50" s="4">
        <f t="shared" si="1"/>
        <v>48</v>
      </c>
      <c r="B50" s="6" t="s">
        <v>209</v>
      </c>
      <c r="C50" s="6" t="s">
        <v>211</v>
      </c>
      <c r="D50" s="6" t="s">
        <v>173</v>
      </c>
      <c r="E50" s="4" t="s">
        <v>17</v>
      </c>
      <c r="F50" s="4">
        <v>100</v>
      </c>
      <c r="G50" s="5">
        <v>46262</v>
      </c>
      <c r="H50" s="4"/>
    </row>
    <row r="51" spans="1:8" ht="15.75" x14ac:dyDescent="0.25">
      <c r="A51" s="4">
        <f t="shared" si="1"/>
        <v>49</v>
      </c>
      <c r="B51" s="6" t="s">
        <v>212</v>
      </c>
      <c r="C51" s="6" t="s">
        <v>213</v>
      </c>
      <c r="D51" s="6" t="s">
        <v>173</v>
      </c>
      <c r="E51" s="4" t="s">
        <v>195</v>
      </c>
      <c r="F51" s="4">
        <v>50</v>
      </c>
      <c r="G51" s="5">
        <v>46262</v>
      </c>
      <c r="H51" s="4" t="s">
        <v>161</v>
      </c>
    </row>
    <row r="52" spans="1:8" ht="15.75" x14ac:dyDescent="0.25">
      <c r="A52" s="4">
        <f t="shared" si="1"/>
        <v>50</v>
      </c>
      <c r="B52" s="6" t="s">
        <v>219</v>
      </c>
      <c r="C52" s="6" t="s">
        <v>218</v>
      </c>
      <c r="D52" s="6" t="s">
        <v>202</v>
      </c>
      <c r="E52" s="4" t="s">
        <v>17</v>
      </c>
      <c r="F52" s="4">
        <v>150</v>
      </c>
      <c r="G52" s="5">
        <v>46277</v>
      </c>
      <c r="H52" s="4"/>
    </row>
    <row r="53" spans="1:8" ht="15.75" x14ac:dyDescent="0.25">
      <c r="A53" s="4">
        <f t="shared" si="1"/>
        <v>51</v>
      </c>
      <c r="B53" s="6" t="s">
        <v>220</v>
      </c>
      <c r="C53" s="6" t="s">
        <v>221</v>
      </c>
      <c r="D53" s="6" t="s">
        <v>202</v>
      </c>
      <c r="E53" s="4" t="s">
        <v>13</v>
      </c>
      <c r="F53" s="4">
        <v>150</v>
      </c>
      <c r="G53" s="5">
        <v>46277</v>
      </c>
      <c r="H53" s="4"/>
    </row>
    <row r="54" spans="1:8" ht="15.75" x14ac:dyDescent="0.25">
      <c r="A54" s="4">
        <f t="shared" si="1"/>
        <v>52</v>
      </c>
      <c r="B54" s="6" t="s">
        <v>222</v>
      </c>
      <c r="C54" s="6" t="s">
        <v>223</v>
      </c>
      <c r="D54" s="6" t="s">
        <v>202</v>
      </c>
      <c r="E54" s="4" t="s">
        <v>195</v>
      </c>
      <c r="F54" s="4">
        <v>200</v>
      </c>
      <c r="G54" s="5">
        <v>46277</v>
      </c>
      <c r="H54" s="4"/>
    </row>
    <row r="55" spans="1:8" ht="15.75" x14ac:dyDescent="0.25">
      <c r="A55" s="4">
        <f t="shared" si="1"/>
        <v>53</v>
      </c>
      <c r="B55" s="6" t="s">
        <v>165</v>
      </c>
      <c r="C55" s="6" t="s">
        <v>166</v>
      </c>
      <c r="D55" s="6" t="s">
        <v>169</v>
      </c>
      <c r="E55" s="4" t="s">
        <v>16</v>
      </c>
      <c r="F55" s="4">
        <v>27</v>
      </c>
      <c r="G55" s="5">
        <v>46196</v>
      </c>
      <c r="H55" s="4" t="s">
        <v>170</v>
      </c>
    </row>
    <row r="56" spans="1:8" ht="15.75" x14ac:dyDescent="0.25">
      <c r="A56" s="4">
        <f t="shared" si="1"/>
        <v>54</v>
      </c>
      <c r="B56" s="6" t="s">
        <v>167</v>
      </c>
      <c r="C56" s="6" t="s">
        <v>168</v>
      </c>
      <c r="D56" s="6" t="s">
        <v>169</v>
      </c>
      <c r="E56" s="4" t="s">
        <v>16</v>
      </c>
      <c r="F56" s="4">
        <v>2</v>
      </c>
      <c r="G56" s="5">
        <v>46196</v>
      </c>
      <c r="H56" s="4" t="s">
        <v>170</v>
      </c>
    </row>
    <row r="57" spans="1:8" ht="15.75" x14ac:dyDescent="0.25">
      <c r="A57" s="4">
        <f t="shared" si="1"/>
        <v>55</v>
      </c>
      <c r="B57" s="6" t="s">
        <v>224</v>
      </c>
      <c r="C57" s="6" t="s">
        <v>225</v>
      </c>
      <c r="D57" s="6" t="s">
        <v>226</v>
      </c>
      <c r="E57" s="4" t="s">
        <v>13</v>
      </c>
      <c r="F57" s="4">
        <v>100</v>
      </c>
      <c r="G57" s="5">
        <v>46300</v>
      </c>
      <c r="H57" s="4"/>
    </row>
    <row r="58" spans="1:8" ht="15.75" x14ac:dyDescent="0.25">
      <c r="A58" s="4">
        <f t="shared" si="1"/>
        <v>56</v>
      </c>
      <c r="B58" s="6" t="s">
        <v>227</v>
      </c>
      <c r="C58" s="6" t="s">
        <v>228</v>
      </c>
      <c r="D58" s="6" t="s">
        <v>226</v>
      </c>
      <c r="E58" s="4" t="s">
        <v>13</v>
      </c>
      <c r="F58" s="4">
        <v>50</v>
      </c>
      <c r="G58" s="5"/>
      <c r="H58" s="4"/>
    </row>
    <row r="59" spans="1:8" ht="15.75" x14ac:dyDescent="0.25">
      <c r="A59" s="4">
        <f t="shared" si="1"/>
        <v>57</v>
      </c>
      <c r="B59" s="6" t="s">
        <v>229</v>
      </c>
      <c r="C59" s="6" t="s">
        <v>230</v>
      </c>
      <c r="D59" s="6" t="s">
        <v>226</v>
      </c>
      <c r="E59" s="4" t="s">
        <v>17</v>
      </c>
      <c r="F59" s="4">
        <v>100</v>
      </c>
      <c r="G59" s="5"/>
      <c r="H59" s="4"/>
    </row>
    <row r="60" spans="1:8" ht="15.75" x14ac:dyDescent="0.25">
      <c r="A60" s="4">
        <f>ROW()-2</f>
        <v>58</v>
      </c>
      <c r="B60" s="6"/>
      <c r="C60" s="6"/>
      <c r="D60" s="6"/>
      <c r="E60" s="4"/>
      <c r="F60" s="4"/>
      <c r="G60" s="5"/>
      <c r="H60" s="4"/>
    </row>
    <row r="61" spans="1:8" ht="15.75" x14ac:dyDescent="0.25">
      <c r="A61" s="4">
        <f>ROW()-2</f>
        <v>59</v>
      </c>
      <c r="B61" s="6"/>
      <c r="C61" s="6"/>
      <c r="D61" s="6"/>
      <c r="E61" s="4"/>
      <c r="F61" s="4"/>
      <c r="G61" s="5"/>
      <c r="H61" s="4"/>
    </row>
    <row r="62" spans="1:8" ht="15.75" x14ac:dyDescent="0.25">
      <c r="A62" s="4">
        <f>ROW()-2</f>
        <v>60</v>
      </c>
      <c r="B62" s="6"/>
      <c r="C62" s="6"/>
      <c r="D62" s="6"/>
      <c r="E62" s="4"/>
      <c r="F62" s="4"/>
      <c r="G62" s="5"/>
      <c r="H62" s="4"/>
    </row>
    <row r="63" spans="1:8" ht="15.75" x14ac:dyDescent="0.25">
      <c r="A63" s="4">
        <f t="shared" si="1"/>
        <v>61</v>
      </c>
      <c r="B63" s="6"/>
      <c r="C63" s="6"/>
      <c r="D63" s="6"/>
      <c r="E63" s="7" t="s">
        <v>153</v>
      </c>
      <c r="F63" s="7">
        <f>SUM(F3:F59)</f>
        <v>4194</v>
      </c>
      <c r="G63" s="4"/>
      <c r="H63" s="4"/>
    </row>
    <row r="64" spans="1:8" x14ac:dyDescent="0.25">
      <c r="C64" s="8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3EDB-09FD-4268-A85C-2BE01E602CBE}">
  <dimension ref="A1:AB18"/>
  <sheetViews>
    <sheetView zoomScaleNormal="100" workbookViewId="0">
      <selection activeCell="D18" sqref="D18"/>
    </sheetView>
  </sheetViews>
  <sheetFormatPr defaultRowHeight="15" x14ac:dyDescent="0.25"/>
  <cols>
    <col min="1" max="1" width="13.42578125" customWidth="1"/>
    <col min="2" max="2" width="18.42578125" bestFit="1" customWidth="1"/>
    <col min="3" max="3" width="17.28515625" customWidth="1"/>
    <col min="4" max="4" width="20.140625" customWidth="1"/>
    <col min="5" max="5" width="19.28515625" customWidth="1"/>
    <col min="6" max="7" width="18" customWidth="1"/>
    <col min="8" max="8" width="26" customWidth="1"/>
    <col min="11" max="11" width="15" customWidth="1"/>
    <col min="12" max="12" width="19.140625" customWidth="1"/>
    <col min="13" max="13" width="17.85546875" customWidth="1"/>
    <col min="14" max="14" width="19.140625" customWidth="1"/>
    <col min="15" max="15" width="18.28515625" customWidth="1"/>
    <col min="16" max="17" width="18.42578125" customWidth="1"/>
    <col min="18" max="18" width="21.42578125" customWidth="1"/>
    <col min="21" max="21" width="12.85546875" customWidth="1"/>
    <col min="22" max="22" width="19.42578125" customWidth="1"/>
    <col min="23" max="23" width="16.28515625" customWidth="1"/>
    <col min="24" max="24" width="20.5703125" customWidth="1"/>
    <col min="25" max="25" width="17.7109375" customWidth="1"/>
    <col min="26" max="26" width="18.7109375" customWidth="1"/>
    <col min="27" max="27" width="17.42578125" customWidth="1"/>
    <col min="28" max="28" width="22.28515625" customWidth="1"/>
  </cols>
  <sheetData>
    <row r="1" spans="1:28" ht="58.5" x14ac:dyDescent="0.7">
      <c r="A1" s="13" t="s">
        <v>194</v>
      </c>
      <c r="B1" s="14"/>
      <c r="C1" s="14"/>
      <c r="D1" s="14"/>
      <c r="E1" s="14"/>
      <c r="F1" s="14"/>
      <c r="G1" s="14"/>
      <c r="H1" s="14"/>
      <c r="K1" s="13" t="s">
        <v>195</v>
      </c>
      <c r="L1" s="14"/>
      <c r="M1" s="14"/>
      <c r="N1" s="14"/>
      <c r="O1" s="14"/>
      <c r="P1" s="14"/>
      <c r="Q1" s="14"/>
      <c r="R1" s="14"/>
      <c r="U1" s="13" t="s">
        <v>196</v>
      </c>
      <c r="V1" s="13"/>
      <c r="W1" s="13"/>
      <c r="X1" s="13"/>
      <c r="Y1" s="13"/>
      <c r="Z1" s="13"/>
      <c r="AA1" s="13"/>
      <c r="AB1" s="13"/>
    </row>
    <row r="2" spans="1:28" x14ac:dyDescent="0.25">
      <c r="A2" s="1" t="s">
        <v>14</v>
      </c>
      <c r="B2" s="1" t="s">
        <v>189</v>
      </c>
      <c r="C2" s="1" t="s">
        <v>191</v>
      </c>
      <c r="D2" s="1" t="s">
        <v>192</v>
      </c>
      <c r="E2" s="1" t="s">
        <v>190</v>
      </c>
      <c r="F2" s="1" t="s">
        <v>193</v>
      </c>
      <c r="G2" s="1" t="s">
        <v>197</v>
      </c>
      <c r="H2" s="1" t="s">
        <v>15</v>
      </c>
      <c r="K2" s="1" t="s">
        <v>14</v>
      </c>
      <c r="L2" s="1" t="s">
        <v>189</v>
      </c>
      <c r="M2" s="1" t="s">
        <v>191</v>
      </c>
      <c r="N2" s="1" t="s">
        <v>192</v>
      </c>
      <c r="O2" s="1" t="s">
        <v>190</v>
      </c>
      <c r="P2" s="1" t="s">
        <v>193</v>
      </c>
      <c r="Q2" s="1" t="s">
        <v>197</v>
      </c>
      <c r="R2" s="1" t="s">
        <v>15</v>
      </c>
      <c r="U2" s="1" t="s">
        <v>14</v>
      </c>
      <c r="V2" s="1" t="s">
        <v>189</v>
      </c>
      <c r="W2" s="1" t="s">
        <v>191</v>
      </c>
      <c r="X2" s="1" t="s">
        <v>192</v>
      </c>
      <c r="Y2" s="1" t="s">
        <v>190</v>
      </c>
      <c r="Z2" s="1" t="s">
        <v>193</v>
      </c>
      <c r="AA2" s="1" t="s">
        <v>197</v>
      </c>
      <c r="AB2" s="1" t="s">
        <v>15</v>
      </c>
    </row>
    <row r="3" spans="1:28" x14ac:dyDescent="0.25">
      <c r="A3" s="9">
        <v>46205</v>
      </c>
      <c r="B3" s="1">
        <v>0</v>
      </c>
      <c r="C3" s="1">
        <v>129</v>
      </c>
      <c r="D3" s="1">
        <v>200</v>
      </c>
      <c r="E3" s="1">
        <v>200</v>
      </c>
      <c r="F3" s="1"/>
      <c r="G3" s="1">
        <v>129</v>
      </c>
      <c r="H3" s="1"/>
      <c r="K3" s="9">
        <v>46205</v>
      </c>
      <c r="L3" s="1">
        <v>0</v>
      </c>
      <c r="M3" s="1">
        <v>239</v>
      </c>
      <c r="N3" s="1">
        <v>220</v>
      </c>
      <c r="O3" s="1">
        <v>220</v>
      </c>
      <c r="P3" s="1"/>
      <c r="Q3" s="1">
        <v>239</v>
      </c>
      <c r="R3" s="1"/>
      <c r="U3" s="9">
        <v>46205</v>
      </c>
      <c r="V3" s="1">
        <v>0</v>
      </c>
      <c r="W3" s="1">
        <v>1920</v>
      </c>
      <c r="X3" s="1">
        <v>75</v>
      </c>
      <c r="Y3" s="1">
        <v>75</v>
      </c>
      <c r="Z3" s="1"/>
      <c r="AA3" s="1"/>
      <c r="AB3" s="1"/>
    </row>
    <row r="4" spans="1:28" x14ac:dyDescent="0.25">
      <c r="A4" s="9"/>
      <c r="B4" s="1"/>
      <c r="C4" s="1"/>
      <c r="D4" s="1"/>
      <c r="E4" s="1"/>
      <c r="F4" s="1"/>
      <c r="G4" s="1"/>
      <c r="H4" s="1"/>
      <c r="K4" s="9"/>
      <c r="L4" s="1"/>
      <c r="M4" s="1"/>
      <c r="N4" s="1"/>
      <c r="O4" s="1"/>
      <c r="P4" s="1"/>
      <c r="Q4" s="1"/>
      <c r="R4" s="1"/>
      <c r="U4" s="9"/>
      <c r="V4" s="1"/>
      <c r="W4" s="1"/>
      <c r="X4" s="1"/>
      <c r="Y4" s="1"/>
      <c r="Z4" s="1"/>
      <c r="AA4" s="1"/>
      <c r="AB4" s="1"/>
    </row>
    <row r="5" spans="1:28" x14ac:dyDescent="0.25">
      <c r="A5" s="9"/>
      <c r="B5" s="1"/>
      <c r="C5" s="1"/>
      <c r="D5" s="1"/>
      <c r="E5" s="1"/>
      <c r="F5" s="1"/>
      <c r="G5" s="1"/>
      <c r="H5" s="1"/>
      <c r="K5" s="9"/>
      <c r="L5" s="1"/>
      <c r="M5" s="1"/>
      <c r="N5" s="1"/>
      <c r="O5" s="1"/>
      <c r="P5" s="1"/>
      <c r="Q5" s="1"/>
      <c r="R5" s="1"/>
      <c r="U5" s="9"/>
      <c r="V5" s="1"/>
      <c r="W5" s="1"/>
      <c r="X5" s="1"/>
      <c r="Y5" s="1"/>
      <c r="Z5" s="1"/>
      <c r="AA5" s="1"/>
      <c r="AB5" s="1"/>
    </row>
    <row r="6" spans="1:28" x14ac:dyDescent="0.25">
      <c r="A6" s="9"/>
      <c r="B6" s="1"/>
      <c r="C6" s="1"/>
      <c r="D6" s="1"/>
      <c r="E6" s="1"/>
      <c r="F6" s="1"/>
      <c r="G6" s="1"/>
      <c r="H6" s="1"/>
      <c r="K6" s="9"/>
      <c r="L6" s="1"/>
      <c r="M6" s="1"/>
      <c r="N6" s="1"/>
      <c r="O6" s="1"/>
      <c r="P6" s="1"/>
      <c r="Q6" s="1"/>
      <c r="R6" s="1"/>
      <c r="U6" s="9"/>
      <c r="V6" s="1"/>
      <c r="W6" s="1"/>
      <c r="X6" s="1"/>
      <c r="Y6" s="1"/>
      <c r="Z6" s="1"/>
      <c r="AA6" s="1"/>
      <c r="AB6" s="1"/>
    </row>
    <row r="7" spans="1:28" x14ac:dyDescent="0.25">
      <c r="A7" s="9"/>
      <c r="B7" s="1"/>
      <c r="C7" s="1"/>
      <c r="D7" s="1"/>
      <c r="E7" s="1"/>
      <c r="F7" s="1"/>
      <c r="G7" s="1"/>
      <c r="H7" s="1"/>
      <c r="K7" s="9"/>
      <c r="L7" s="1"/>
      <c r="M7" s="1"/>
      <c r="N7" s="1"/>
      <c r="O7" s="1"/>
      <c r="P7" s="1"/>
      <c r="Q7" s="1"/>
      <c r="R7" s="1"/>
      <c r="U7" s="9"/>
      <c r="V7" s="1"/>
      <c r="W7" s="1"/>
      <c r="X7" s="1"/>
      <c r="Y7" s="1"/>
      <c r="Z7" s="1"/>
      <c r="AA7" s="1"/>
      <c r="AB7" s="1"/>
    </row>
    <row r="8" spans="1:28" x14ac:dyDescent="0.25">
      <c r="A8" s="9"/>
      <c r="B8" s="1"/>
      <c r="C8" s="1"/>
      <c r="D8" s="1"/>
      <c r="E8" s="1"/>
      <c r="F8" s="1"/>
      <c r="G8" s="1"/>
      <c r="H8" s="1"/>
      <c r="K8" s="9"/>
      <c r="L8" s="1"/>
      <c r="M8" s="1"/>
      <c r="N8" s="1"/>
      <c r="O8" s="1"/>
      <c r="P8" s="1"/>
      <c r="Q8" s="1"/>
      <c r="R8" s="1"/>
      <c r="U8" s="9"/>
      <c r="V8" s="1"/>
      <c r="W8" s="1"/>
      <c r="X8" s="1"/>
      <c r="Y8" s="1"/>
      <c r="Z8" s="1"/>
      <c r="AA8" s="1"/>
      <c r="AB8" s="1"/>
    </row>
    <row r="9" spans="1:28" x14ac:dyDescent="0.25">
      <c r="A9" s="9"/>
      <c r="B9" s="1"/>
      <c r="C9" s="1"/>
      <c r="D9" s="1"/>
      <c r="E9" s="1"/>
      <c r="F9" s="1"/>
      <c r="G9" s="1"/>
      <c r="H9" s="1"/>
      <c r="K9" s="9"/>
      <c r="L9" s="1"/>
      <c r="M9" s="1"/>
      <c r="N9" s="1"/>
      <c r="O9" s="1"/>
      <c r="P9" s="1"/>
      <c r="Q9" s="1"/>
      <c r="R9" s="1"/>
      <c r="U9" s="9"/>
      <c r="V9" s="1"/>
      <c r="W9" s="1"/>
      <c r="X9" s="1"/>
      <c r="Y9" s="1"/>
      <c r="Z9" s="1"/>
      <c r="AA9" s="1"/>
      <c r="AB9" s="1"/>
    </row>
    <row r="10" spans="1:28" x14ac:dyDescent="0.25">
      <c r="A10" s="9"/>
      <c r="B10" s="1"/>
      <c r="C10" s="1"/>
      <c r="D10" s="1"/>
      <c r="E10" s="1"/>
      <c r="F10" s="1"/>
      <c r="G10" s="1"/>
      <c r="H10" s="1"/>
      <c r="K10" s="9"/>
      <c r="L10" s="1"/>
      <c r="M10" s="1"/>
      <c r="N10" s="1"/>
      <c r="O10" s="1"/>
      <c r="P10" s="1"/>
      <c r="Q10" s="1"/>
      <c r="R10" s="1"/>
      <c r="U10" s="9"/>
      <c r="V10" s="1"/>
      <c r="W10" s="1"/>
      <c r="X10" s="1"/>
      <c r="Y10" s="1"/>
      <c r="Z10" s="1"/>
      <c r="AA10" s="1"/>
      <c r="AB10" s="1"/>
    </row>
    <row r="11" spans="1:28" x14ac:dyDescent="0.25">
      <c r="A11" s="9"/>
      <c r="B11" s="1"/>
      <c r="C11" s="1"/>
      <c r="D11" s="1"/>
      <c r="E11" s="1"/>
      <c r="F11" s="1"/>
      <c r="G11" s="1"/>
      <c r="H11" s="1"/>
      <c r="K11" s="9"/>
      <c r="L11" s="1"/>
      <c r="M11" s="1"/>
      <c r="N11" s="1"/>
      <c r="O11" s="1"/>
      <c r="P11" s="1"/>
      <c r="Q11" s="1"/>
      <c r="R11" s="1"/>
      <c r="U11" s="9"/>
      <c r="V11" s="1"/>
      <c r="W11" s="1"/>
      <c r="X11" s="1"/>
      <c r="Y11" s="1"/>
      <c r="Z11" s="1"/>
      <c r="AA11" s="1"/>
      <c r="AB11" s="1"/>
    </row>
    <row r="12" spans="1:28" x14ac:dyDescent="0.25">
      <c r="A12" s="9"/>
      <c r="B12" s="1"/>
      <c r="C12" s="1"/>
      <c r="D12" s="1"/>
      <c r="E12" s="1"/>
      <c r="F12" s="1"/>
      <c r="G12" s="1"/>
      <c r="H12" s="1"/>
      <c r="K12" s="9"/>
      <c r="L12" s="1"/>
      <c r="M12" s="1"/>
      <c r="N12" s="1"/>
      <c r="O12" s="1"/>
      <c r="P12" s="1"/>
      <c r="Q12" s="1"/>
      <c r="R12" s="1"/>
      <c r="U12" s="9"/>
      <c r="V12" s="1"/>
      <c r="W12" s="1"/>
      <c r="X12" s="1"/>
      <c r="Y12" s="1"/>
      <c r="Z12" s="1"/>
      <c r="AA12" s="1"/>
      <c r="AB12" s="1"/>
    </row>
    <row r="13" spans="1:28" x14ac:dyDescent="0.25">
      <c r="A13" s="9"/>
      <c r="B13" s="1"/>
      <c r="C13" s="1"/>
      <c r="D13" s="1"/>
      <c r="E13" s="1"/>
      <c r="F13" s="1"/>
      <c r="G13" s="1"/>
      <c r="H13" s="1"/>
      <c r="K13" s="9"/>
      <c r="L13" s="1"/>
      <c r="M13" s="1"/>
      <c r="N13" s="1"/>
      <c r="O13" s="1"/>
      <c r="P13" s="1"/>
      <c r="Q13" s="1"/>
      <c r="R13" s="1"/>
      <c r="U13" s="9"/>
      <c r="V13" s="1"/>
      <c r="W13" s="1"/>
      <c r="X13" s="1"/>
      <c r="Y13" s="1"/>
      <c r="Z13" s="1"/>
      <c r="AA13" s="1"/>
      <c r="AB13" s="1"/>
    </row>
    <row r="14" spans="1:28" x14ac:dyDescent="0.25">
      <c r="A14" s="9"/>
      <c r="B14" s="1"/>
      <c r="C14" s="1"/>
      <c r="D14" s="1"/>
      <c r="E14" s="1"/>
      <c r="F14" s="1"/>
      <c r="G14" s="1"/>
      <c r="H14" s="1"/>
      <c r="K14" s="9"/>
      <c r="L14" s="1"/>
      <c r="M14" s="1"/>
      <c r="N14" s="1"/>
      <c r="O14" s="1"/>
      <c r="P14" s="1"/>
      <c r="Q14" s="1"/>
      <c r="R14" s="1"/>
      <c r="U14" s="9"/>
      <c r="V14" s="1"/>
      <c r="W14" s="1"/>
      <c r="X14" s="1"/>
      <c r="Y14" s="1"/>
      <c r="Z14" s="1"/>
      <c r="AA14" s="1"/>
      <c r="AB14" s="1"/>
    </row>
    <row r="15" spans="1:28" x14ac:dyDescent="0.25">
      <c r="A15" s="9"/>
      <c r="B15" s="1"/>
      <c r="C15" s="1"/>
      <c r="D15" s="1"/>
      <c r="E15" s="1"/>
      <c r="F15" s="1"/>
      <c r="G15" s="1"/>
      <c r="H15" s="1"/>
      <c r="K15" s="9"/>
      <c r="L15" s="1"/>
      <c r="M15" s="1"/>
      <c r="N15" s="1"/>
      <c r="O15" s="1"/>
      <c r="P15" s="1"/>
      <c r="Q15" s="1"/>
      <c r="R15" s="1"/>
      <c r="U15" s="9"/>
      <c r="V15" s="1"/>
      <c r="W15" s="1"/>
      <c r="X15" s="1"/>
      <c r="Y15" s="1"/>
      <c r="Z15" s="1"/>
      <c r="AA15" s="1"/>
      <c r="AB15" s="1"/>
    </row>
    <row r="16" spans="1:28" x14ac:dyDescent="0.25">
      <c r="A16" s="9"/>
      <c r="B16" s="1"/>
      <c r="C16" s="1"/>
      <c r="D16" s="1"/>
      <c r="E16" s="1"/>
      <c r="F16" s="1"/>
      <c r="G16" s="1"/>
      <c r="H16" s="1"/>
      <c r="K16" s="9"/>
      <c r="L16" s="1"/>
      <c r="M16" s="1"/>
      <c r="N16" s="1"/>
      <c r="O16" s="1"/>
      <c r="P16" s="1"/>
      <c r="Q16" s="1"/>
      <c r="R16" s="1"/>
      <c r="U16" s="9"/>
      <c r="V16" s="1"/>
      <c r="W16" s="1"/>
      <c r="X16" s="1"/>
      <c r="Y16" s="1"/>
      <c r="Z16" s="1"/>
      <c r="AA16" s="1"/>
      <c r="AB16" s="1"/>
    </row>
    <row r="17" spans="1:28" x14ac:dyDescent="0.25">
      <c r="A17" s="9"/>
      <c r="B17" s="1"/>
      <c r="C17" s="1"/>
      <c r="D17" s="1"/>
      <c r="E17" s="1"/>
      <c r="F17" s="1"/>
      <c r="G17" s="1"/>
      <c r="H17" s="1"/>
      <c r="K17" s="9"/>
      <c r="L17" s="1"/>
      <c r="M17" s="1"/>
      <c r="N17" s="1"/>
      <c r="O17" s="1"/>
      <c r="P17" s="1"/>
      <c r="Q17" s="1"/>
      <c r="R17" s="1"/>
      <c r="U17" s="9"/>
      <c r="V17" s="1"/>
      <c r="W17" s="1"/>
      <c r="X17" s="1"/>
      <c r="Y17" s="1"/>
      <c r="Z17" s="1"/>
      <c r="AA17" s="1"/>
      <c r="AB17" s="1"/>
    </row>
    <row r="18" spans="1:28" x14ac:dyDescent="0.25">
      <c r="A18" s="9"/>
      <c r="B18" s="1"/>
      <c r="C18" s="1"/>
      <c r="D18" s="1"/>
      <c r="E18" s="1"/>
      <c r="F18" s="1"/>
      <c r="G18" s="1"/>
      <c r="H18" s="1"/>
      <c r="K18" s="9"/>
      <c r="L18" s="1"/>
      <c r="M18" s="1"/>
      <c r="N18" s="1"/>
      <c r="O18" s="1"/>
      <c r="P18" s="1"/>
      <c r="Q18" s="1"/>
      <c r="R18" s="1"/>
      <c r="U18" s="9"/>
      <c r="V18" s="1"/>
      <c r="W18" s="1"/>
      <c r="X18" s="1"/>
      <c r="Y18" s="1"/>
      <c r="Z18" s="1"/>
      <c r="AA18" s="1"/>
      <c r="AB18" s="1"/>
    </row>
  </sheetData>
  <mergeCells count="3">
    <mergeCell ref="A1:H1"/>
    <mergeCell ref="K1:R1"/>
    <mergeCell ref="U1:AB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ECB5-009B-4A95-948D-B5418A73B4F4}">
  <sheetPr codeName="Sheet2"/>
  <dimension ref="A1:E31"/>
  <sheetViews>
    <sheetView workbookViewId="0">
      <selection activeCell="E5" sqref="E5"/>
    </sheetView>
  </sheetViews>
  <sheetFormatPr defaultRowHeight="15" x14ac:dyDescent="0.25"/>
  <cols>
    <col min="2" max="2" width="28.140625" customWidth="1"/>
    <col min="3" max="4" width="28.85546875" customWidth="1"/>
    <col min="5" max="5" width="27.57031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s="1">
        <f>ROW()-1</f>
        <v>1</v>
      </c>
      <c r="B2" s="1" t="s">
        <v>5</v>
      </c>
      <c r="C2" s="1" t="s">
        <v>6</v>
      </c>
      <c r="D2" s="1">
        <v>9596935377</v>
      </c>
      <c r="E2" s="1" t="s">
        <v>7</v>
      </c>
    </row>
    <row r="3" spans="1:5" x14ac:dyDescent="0.25">
      <c r="A3" s="1">
        <f t="shared" ref="A3:A31" si="0">ROW()-1</f>
        <v>2</v>
      </c>
      <c r="B3" s="1" t="s">
        <v>18</v>
      </c>
      <c r="C3" s="1" t="s">
        <v>6</v>
      </c>
      <c r="D3" s="1">
        <v>9596011137</v>
      </c>
      <c r="E3" s="1" t="s">
        <v>7</v>
      </c>
    </row>
    <row r="4" spans="1:5" x14ac:dyDescent="0.25">
      <c r="A4" s="1">
        <f t="shared" si="0"/>
        <v>3</v>
      </c>
      <c r="B4" s="1" t="s">
        <v>31</v>
      </c>
      <c r="C4" s="1" t="s">
        <v>33</v>
      </c>
      <c r="D4" s="1">
        <v>7006255857</v>
      </c>
      <c r="E4" s="1" t="s">
        <v>32</v>
      </c>
    </row>
    <row r="5" spans="1:5" x14ac:dyDescent="0.25">
      <c r="A5" s="1">
        <f t="shared" si="0"/>
        <v>4</v>
      </c>
      <c r="B5" s="1" t="s">
        <v>144</v>
      </c>
      <c r="C5" s="1" t="s">
        <v>33</v>
      </c>
      <c r="D5" s="1">
        <v>8899908693</v>
      </c>
      <c r="E5" s="1" t="s">
        <v>30</v>
      </c>
    </row>
    <row r="6" spans="1:5" x14ac:dyDescent="0.25">
      <c r="A6" s="1">
        <f t="shared" si="0"/>
        <v>5</v>
      </c>
      <c r="B6" s="1"/>
      <c r="C6" s="1"/>
      <c r="D6" s="1"/>
      <c r="E6" s="1"/>
    </row>
    <row r="7" spans="1:5" x14ac:dyDescent="0.25">
      <c r="A7" s="1">
        <f t="shared" si="0"/>
        <v>6</v>
      </c>
      <c r="B7" s="1"/>
      <c r="C7" s="1"/>
      <c r="D7" s="1"/>
      <c r="E7" s="1"/>
    </row>
    <row r="8" spans="1:5" x14ac:dyDescent="0.25">
      <c r="A8" s="1">
        <f t="shared" si="0"/>
        <v>7</v>
      </c>
      <c r="B8" s="1"/>
      <c r="C8" s="1"/>
      <c r="D8" s="1"/>
      <c r="E8" s="1"/>
    </row>
    <row r="9" spans="1:5" x14ac:dyDescent="0.25">
      <c r="A9" s="1">
        <f t="shared" si="0"/>
        <v>8</v>
      </c>
      <c r="B9" s="1"/>
      <c r="C9" s="1"/>
      <c r="D9" s="1"/>
      <c r="E9" s="1"/>
    </row>
    <row r="10" spans="1:5" x14ac:dyDescent="0.25">
      <c r="A10" s="1">
        <f t="shared" si="0"/>
        <v>9</v>
      </c>
      <c r="B10" s="1"/>
      <c r="C10" s="1"/>
      <c r="D10" s="1"/>
      <c r="E10" s="1"/>
    </row>
    <row r="11" spans="1:5" x14ac:dyDescent="0.25">
      <c r="A11" s="1">
        <f t="shared" si="0"/>
        <v>10</v>
      </c>
      <c r="B11" s="1"/>
      <c r="C11" s="1"/>
      <c r="D11" s="1"/>
      <c r="E11" s="1"/>
    </row>
    <row r="12" spans="1:5" x14ac:dyDescent="0.25">
      <c r="A12" s="1">
        <f t="shared" si="0"/>
        <v>11</v>
      </c>
      <c r="B12" s="1"/>
      <c r="C12" s="1"/>
      <c r="D12" s="1"/>
      <c r="E12" s="1"/>
    </row>
    <row r="13" spans="1:5" x14ac:dyDescent="0.25">
      <c r="A13" s="1">
        <f t="shared" si="0"/>
        <v>12</v>
      </c>
      <c r="B13" s="1"/>
      <c r="C13" s="1"/>
      <c r="D13" s="1"/>
      <c r="E13" s="1"/>
    </row>
    <row r="14" spans="1:5" x14ac:dyDescent="0.25">
      <c r="A14" s="1">
        <f t="shared" si="0"/>
        <v>13</v>
      </c>
      <c r="B14" s="1"/>
      <c r="C14" s="1"/>
      <c r="D14" s="1"/>
      <c r="E14" s="1"/>
    </row>
    <row r="15" spans="1:5" x14ac:dyDescent="0.25">
      <c r="A15" s="1">
        <f t="shared" si="0"/>
        <v>14</v>
      </c>
      <c r="B15" s="1"/>
      <c r="C15" s="1"/>
      <c r="D15" s="1"/>
      <c r="E15" s="1"/>
    </row>
    <row r="16" spans="1:5" x14ac:dyDescent="0.25">
      <c r="A16" s="1">
        <f t="shared" si="0"/>
        <v>15</v>
      </c>
      <c r="B16" s="1"/>
      <c r="C16" s="1"/>
      <c r="D16" s="1"/>
      <c r="E16" s="1"/>
    </row>
    <row r="17" spans="1:5" x14ac:dyDescent="0.25">
      <c r="A17" s="1">
        <f t="shared" si="0"/>
        <v>16</v>
      </c>
      <c r="B17" s="1"/>
      <c r="C17" s="1"/>
      <c r="D17" s="1"/>
      <c r="E17" s="1"/>
    </row>
    <row r="18" spans="1:5" x14ac:dyDescent="0.25">
      <c r="A18" s="1">
        <f t="shared" si="0"/>
        <v>17</v>
      </c>
      <c r="B18" s="1"/>
      <c r="C18" s="1"/>
      <c r="D18" s="1"/>
      <c r="E18" s="1"/>
    </row>
    <row r="19" spans="1:5" x14ac:dyDescent="0.25">
      <c r="A19" s="1">
        <f t="shared" si="0"/>
        <v>18</v>
      </c>
      <c r="B19" s="1"/>
      <c r="C19" s="1"/>
      <c r="D19" s="1"/>
      <c r="E19" s="1"/>
    </row>
    <row r="20" spans="1:5" x14ac:dyDescent="0.25">
      <c r="A20" s="1">
        <f t="shared" si="0"/>
        <v>19</v>
      </c>
      <c r="B20" s="1"/>
      <c r="C20" s="1"/>
      <c r="D20" s="1"/>
      <c r="E20" s="1"/>
    </row>
    <row r="21" spans="1:5" x14ac:dyDescent="0.25">
      <c r="A21" s="1">
        <f t="shared" si="0"/>
        <v>20</v>
      </c>
      <c r="B21" s="1"/>
      <c r="C21" s="1"/>
      <c r="D21" s="1"/>
      <c r="E21" s="1"/>
    </row>
    <row r="22" spans="1:5" x14ac:dyDescent="0.25">
      <c r="A22" s="1">
        <f t="shared" si="0"/>
        <v>21</v>
      </c>
      <c r="B22" s="1"/>
      <c r="C22" s="1"/>
      <c r="D22" s="1"/>
      <c r="E22" s="1"/>
    </row>
    <row r="23" spans="1:5" x14ac:dyDescent="0.25">
      <c r="A23" s="1">
        <f t="shared" si="0"/>
        <v>22</v>
      </c>
      <c r="B23" s="1"/>
      <c r="C23" s="1"/>
      <c r="D23" s="1"/>
      <c r="E23" s="1"/>
    </row>
    <row r="24" spans="1:5" x14ac:dyDescent="0.25">
      <c r="A24" s="1">
        <f t="shared" si="0"/>
        <v>23</v>
      </c>
      <c r="B24" s="1"/>
      <c r="C24" s="1"/>
      <c r="D24" s="1"/>
      <c r="E24" s="1"/>
    </row>
    <row r="25" spans="1:5" x14ac:dyDescent="0.25">
      <c r="A25" s="1">
        <f t="shared" si="0"/>
        <v>24</v>
      </c>
      <c r="B25" s="1"/>
      <c r="C25" s="1"/>
      <c r="D25" s="1"/>
      <c r="E25" s="1"/>
    </row>
    <row r="26" spans="1:5" x14ac:dyDescent="0.25">
      <c r="A26" s="1">
        <f t="shared" si="0"/>
        <v>25</v>
      </c>
      <c r="B26" s="1"/>
      <c r="C26" s="1"/>
      <c r="D26" s="1"/>
      <c r="E26" s="1"/>
    </row>
    <row r="27" spans="1:5" x14ac:dyDescent="0.25">
      <c r="A27" s="1">
        <f t="shared" si="0"/>
        <v>26</v>
      </c>
      <c r="B27" s="1"/>
      <c r="C27" s="1"/>
      <c r="D27" s="1"/>
      <c r="E27" s="1"/>
    </row>
    <row r="28" spans="1:5" x14ac:dyDescent="0.25">
      <c r="A28" s="1">
        <f t="shared" si="0"/>
        <v>27</v>
      </c>
      <c r="B28" s="1"/>
      <c r="C28" s="1"/>
      <c r="D28" s="1"/>
      <c r="E28" s="1"/>
    </row>
    <row r="29" spans="1:5" x14ac:dyDescent="0.25">
      <c r="A29" s="1">
        <f t="shared" si="0"/>
        <v>28</v>
      </c>
      <c r="B29" s="1"/>
      <c r="C29" s="1"/>
      <c r="D29" s="1"/>
      <c r="E29" s="1"/>
    </row>
    <row r="30" spans="1:5" x14ac:dyDescent="0.25">
      <c r="A30" s="1">
        <f t="shared" si="0"/>
        <v>29</v>
      </c>
      <c r="B30" s="1"/>
      <c r="C30" s="1"/>
      <c r="D30" s="1"/>
      <c r="E30" s="1"/>
    </row>
    <row r="31" spans="1:5" x14ac:dyDescent="0.25">
      <c r="A31" s="1">
        <f t="shared" si="0"/>
        <v>30</v>
      </c>
      <c r="B31" s="1"/>
      <c r="C31" s="1"/>
      <c r="D31" s="1"/>
      <c r="E31" s="1"/>
    </row>
  </sheetData>
  <dataValidations count="1">
    <dataValidation type="list" allowBlank="1" showInputMessage="1" showErrorMessage="1" sqref="C26 C20" xr:uid="{07A4B0D7-399B-4733-A10B-4B99C1F9FD4D}">
      <formula1>"Driver,DSE,SRM,"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RC</vt:lpstr>
      <vt:lpstr>FASTag</vt:lpstr>
      <vt:lpstr>FASTag Stock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Ahmad Sofi</dc:creator>
  <cp:lastModifiedBy>Adil Ahmad Sofi</cp:lastModifiedBy>
  <dcterms:created xsi:type="dcterms:W3CDTF">2025-11-22T04:56:52Z</dcterms:created>
  <dcterms:modified xsi:type="dcterms:W3CDTF">2026-10-30T11:30:42Z</dcterms:modified>
</cp:coreProperties>
</file>