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F6509F4-FF0F-42E1-A9E9-B6EC1E5048C8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2" i="2" l="1"/>
  <c r="A43" i="2"/>
  <c r="A44" i="2"/>
  <c r="F63" i="4"/>
  <c r="A60" i="4"/>
  <c r="A61" i="4"/>
  <c r="A62" i="4"/>
  <c r="A57" i="4"/>
  <c r="A58" i="4"/>
  <c r="A59" i="4"/>
  <c r="A53" i="4"/>
  <c r="A54" i="4"/>
  <c r="F45" i="2"/>
  <c r="A39" i="2"/>
  <c r="A40" i="2"/>
  <c r="A41" i="2"/>
  <c r="C45" i="2"/>
  <c r="A37" i="2"/>
  <c r="A38" i="2"/>
  <c r="A51" i="4"/>
  <c r="A52" i="4"/>
  <c r="A34" i="2"/>
  <c r="A35" i="2"/>
  <c r="A36" i="2"/>
  <c r="A48" i="4"/>
  <c r="A49" i="4"/>
  <c r="A50" i="4"/>
  <c r="A43" i="4"/>
  <c r="A44" i="4"/>
  <c r="A45" i="4"/>
  <c r="A46" i="4"/>
  <c r="A47" i="4"/>
  <c r="A40" i="4"/>
  <c r="A41" i="4"/>
  <c r="A42" i="4"/>
  <c r="A31" i="2"/>
  <c r="A32" i="2"/>
  <c r="A33" i="2"/>
  <c r="A39" i="4"/>
  <c r="A55" i="4"/>
  <c r="A56" i="4"/>
  <c r="A36" i="4"/>
  <c r="A35" i="4"/>
  <c r="A26" i="2"/>
  <c r="A28" i="2"/>
  <c r="A29" i="2"/>
  <c r="A30" i="2"/>
  <c r="A34" i="4"/>
  <c r="A37" i="4"/>
  <c r="A38" i="4"/>
  <c r="A63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4" i="4"/>
  <c r="A20" i="4"/>
  <c r="A12" i="4"/>
  <c r="A19" i="4"/>
  <c r="A18" i="4"/>
  <c r="A17" i="4"/>
  <c r="A16" i="4"/>
  <c r="A15" i="4"/>
  <c r="A13" i="4"/>
  <c r="A11" i="4"/>
  <c r="A10" i="4"/>
  <c r="A9" i="4"/>
  <c r="A8" i="4"/>
  <c r="A7" i="4"/>
  <c r="A6" i="4"/>
  <c r="A5" i="4"/>
  <c r="A4" i="4"/>
  <c r="A3" i="4"/>
  <c r="A45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<sst xmlns="http://schemas.openxmlformats.org/spreadsheetml/2006/main" count="427" uniqueCount="234">
  <si>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</si>
  <si>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</si>
  <si>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</si>
  <si>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</si>
  <si>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</si>
  <si>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</si>
  <si>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</si>
  <si>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</si>
  <si>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</si>
  <si>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</si>
  <si>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</si>
  <si>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</si>
  <si>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</si>
  <si>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</si>
  <si>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</si>
  <si>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</si>
  <si>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</si>
  <si>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</si>
  <si>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</si>
  <si>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</si>
  <si>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</si>
  <si>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</si>
  <si>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</si>
  <si>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</si>
  <si>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</si>
  <si>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</si>
  <si>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</si>
  <si>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</si>
  <si>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</si>
  <si>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</si>
  <si>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</si>
  <si>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</si>
  <si>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</si>
  <si>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</si>
  <si>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</si>
  <si>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</si>
  <si>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</si>
  <si>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</si>
  <si>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</si>
  <si>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</si>
  <si>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</si>
  <si>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</si>
  <si>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</si>
  <si>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</si>
  <si>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</si>
  <si>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</si>
  <si>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</si>
  <si>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</si>
  <si>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</si>
  <si>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</si>
  <si>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</si>
  <si>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</si>
  <si>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</si>
  <si>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</si>
  <si>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</si>
  <si>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</si>
  <si>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</si>
  <si>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</si>
  <si>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</si>
  <si>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</si>
  <si>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</si>
  <si>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</si>
  <si>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</si>
  <si>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</si>
  <si>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</si>
  <si>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</si>
  <si>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</si>
  <si>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</si>
  <si>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</si>
  <si>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</si>
  <si>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</si>
  <si>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</si>
  <si>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</si>
  <si>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</si>
  <si>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</si>
  <si>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</si>
  <si>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</si>
  <si>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</si>
  <si>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</si>
  <si>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</si>
  <si>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</si>
  <si>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</si>
  <si>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</si>
  <si>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</si>
  <si>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</si>
  <si>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</si>
  <si>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</si>
  <si>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</si>
  <si>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</si>
  <si>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</si>
  <si>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</si>
  <si>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</si>
  <si>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</si>
  <si>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</si>
  <si>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</si>
  <si>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</si>
  <si>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</si>
  <si>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</si>
  <si>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</si>
  <si>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</si>
  <si>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</si>
  <si>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</si>
  <si>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</si>
  <si>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</si>
  <si>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</si>
  <si>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</si>
  <si>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</si>
  <si>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</si>
  <si>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</si>
  <si>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</si>
  <si>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</si>
  <si>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</si>
  <si>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</si>
  <si>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</si>
  <si>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</si>
  <si>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</si>
  <si>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</si>
  <si>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</si>
  <si>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</si>
  <si>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</si>
  <si>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</si>
  <si>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</si>
  <si>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</si>
  <si>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</si>
  <si>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</si>
  <si>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</si>
  <si>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</si>
  <si>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</si>
  <si>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</si>
  <si>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</si>
  <si>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</si>
  <si>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</si>
  <si>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</si>
  <si>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</si>
  <si>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</si>
  <si>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</si>
  <si>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</si>
  <si>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</si>
  <si>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</si>
  <si>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</si>
  <si>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</si>
  <si>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</si>
  <si>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</si>
  <si>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</si>
  <si>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</si>
  <si>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</si>
  <si>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</si>
  <si>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</si>
  <si>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</si>
  <si>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</si>
  <si>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</si>
  <si>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</si>
  <si>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</si>
  <si>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</si>
  <si>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</si>
  <si>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</si>
  <si>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</si>
  <si>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</si>
  <si>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</si>
  <si>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</si>
  <si>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</si>
  <si>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</si>
  <si>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</si>
  <si>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</si>
  <si>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</si>
  <si>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</si>
  <si>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</si>
  <si>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</si>
  <si>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</si>
  <si>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</si>
  <si>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</si>
  <si>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</si>
  <si>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</si>
  <si>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</si>
  <si>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</si>
  <si>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</si>
  <si>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</si>
  <si>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</si>
  <si>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</si>
  <si>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</si>
  <si>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</si>
  <si>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</si>
  <si>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</si>
  <si>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</si>
  <si>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</si>
  <si>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</si>
  <si>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</si>
  <si>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</si>
  <si>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</si>
  <si>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</si>
  <si>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</si>
  <si>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</si>
  <si>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</si>
  <si>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</si>
  <si>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</si>
  <si>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</si>
  <si>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</si>
  <si>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</si>
  <si>
    <t>334701 - 334750</t>
  </si>
  <si>
    <t>334601 - 334700</t>
  </si>
  <si>
    <t>Fazil</t>
  </si>
  <si>
    <t>returnd - 520-530</t>
  </si>
  <si>
    <t>Order 8</t>
  </si>
  <si>
    <t>608268-005-0204086</t>
  </si>
  <si>
    <t>608268-005-0204285</t>
  </si>
  <si>
    <t>377501 - 38000</t>
  </si>
  <si>
    <t>372751 - 373000</t>
  </si>
  <si>
    <t>377501  - 377750</t>
  </si>
  <si>
    <t>608268-005-0204286</t>
  </si>
  <si>
    <t>608268-005-0204436</t>
  </si>
  <si>
    <t>Anees</t>
  </si>
  <si>
    <t>608268-005-0204535</t>
  </si>
  <si>
    <t>608268-005-0204536</t>
  </si>
  <si>
    <t>608268-005-0204585</t>
  </si>
  <si>
    <t>372901 - 3723000</t>
  </si>
  <si>
    <t>410751 - 411500</t>
  </si>
  <si>
    <t>410751 - 411000</t>
  </si>
  <si>
    <t>411001 - 411250</t>
  </si>
  <si>
    <t>608268-005-0246763</t>
  </si>
  <si>
    <t>608268-005-0246614</t>
  </si>
  <si>
    <t>608268-005-0246764</t>
  </si>
  <si>
    <t>608268-005-0246913</t>
  </si>
  <si>
    <t>608268-005-0246914</t>
  </si>
  <si>
    <t>608268-005-0247113</t>
  </si>
  <si>
    <t>608268-005-0384914</t>
  </si>
  <si>
    <t>608268-005-0385013</t>
  </si>
  <si>
    <t>Order 9</t>
  </si>
  <si>
    <t>608268-005-0385014</t>
  </si>
  <si>
    <t>608268-005-0385063</t>
  </si>
  <si>
    <t>608268-005-0384814</t>
  </si>
  <si>
    <t>608268-005-0384913</t>
  </si>
  <si>
    <t>411451 - 411500</t>
  </si>
  <si>
    <t>411401 - 411450</t>
  </si>
  <si>
    <t>411251 - 411400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</si>
</sst>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45" headerRowDxfId="56" dataDxfId="55">
  <autoFilter ref="A2:I45" xr:uid="{CA5C59B6-CE46-4417-A1E1-57B514AE8648}"/>
  <sortState xmlns:xlrd2="http://schemas.microsoft.com/office/spreadsheetml/2017/richdata2" ref="A3:I45">
    <sortCondition ref="H2:H45"/>
  </sortState>
  <tableColumns count="9">
    <tableColumn id="1" xr3:uid="{F980782F-9663-4F3B-A4B5-72E20C146CA6}" name="S.No." dataDxfId="54" totalsRowDxfId="53">
      <calculatedColumnFormula>ROW()-2</calculatedColumnFormula>
    </tableColumn>
    <tableColumn id="4" xr3:uid="{41F3F928-C5F4-479D-8794-38082DFADE30}" name="Serial" dataDxfId="52" totalsRowDxfId="51"/>
    <tableColumn id="9" xr3:uid="{6551D741-ECEA-463A-A282-9E465AC65D87}" name="RTO Rc Rec" dataDxfId="50" totalsRowDxfId="49"/>
    <tableColumn id="10" xr3:uid="{27CFA8EB-0A9B-4187-B61B-83F48466BC43}" name="Date" dataDxfId="48" totalsRowDxfId="47"/>
    <tableColumn id="2" xr3:uid="{24379A66-65E1-4060-BC95-F052DEABD945}" name="Card Number" dataDxfId="46" totalsRowDxfId="45"/>
    <tableColumn id="3" xr3:uid="{00D6D077-3271-44BD-842C-3A558BFFF932}" name="Qty" dataDxfId="44" totalsRowDxfId="43"/>
    <tableColumn id="11" xr3:uid="{2DE97642-A764-4067-B347-A03241193D5E}" name="Channel" dataDxfId="42" totalsRowDxfId="41"/>
    <tableColumn id="5" xr3:uid="{BE80955F-5DAA-4ECC-BB79-381C74EB834B}" name="Date2" dataDxfId="40" totalsRowDxfId="39"/>
    <tableColumn id="6" xr3:uid="{DD8A9FCE-3112-4052-BE00-322420D04B3B}" name="Status" dataDxfId="38" totalsRow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63" totalsRowShown="0" headerRowDxfId="66" dataDxfId="65">
  <autoFilter ref="A2:H63" xr:uid="{2EA62A60-EA8D-4084-B62D-130D765E6A2D}"/>
  <sortState xmlns:xlrd2="http://schemas.microsoft.com/office/spreadsheetml/2017/richdata2" ref="A3:H63">
    <sortCondition ref="D2:D63"/>
  </sortState>
  <tableColumns count="8">
    <tableColumn id="1" xr3:uid="{D895DD5F-5560-4AF1-98F6-84C7CF0CAA78}" name="S.No." dataDxfId="64">
      <calculatedColumnFormula>ROW()-2</calculatedColumnFormula>
    </tableColumn>
    <tableColumn id="2" xr3:uid="{C4BD8CC6-1DCF-46B4-9447-0D35200C9F6A}" name="Barcode Start No." dataDxfId="63"/>
    <tableColumn id="3" xr3:uid="{B46DB2E9-DEA3-4BCC-AF88-DC78CE972E00}" name="Barcode End No." dataDxfId="62"/>
    <tableColumn id="8" xr3:uid="{64D5D4EA-324D-44CA-A67C-7C8E63C1A56D}" name="Order" dataDxfId="61"/>
    <tableColumn id="4" xr3:uid="{8F1E792C-D591-45D4-9CC6-26DC7EE74461}" name="Channel / Location" dataDxfId="60"/>
    <tableColumn id="5" xr3:uid="{42F3602C-20CA-409C-B4D2-ECCE3474294B}" name="Tags Qty" dataDxfId="59"/>
    <tableColumn id="6" xr3:uid="{10B0A880-1CFD-44B1-B9CD-5A12B7D02111}" name="Dated" dataDxfId="58"/>
    <tableColumn id="7" xr3:uid="{39B403C8-70C4-401B-B460-C0A55C193E92}" name="Remarks" dataDxfId="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36" dataDxfId="35">
  <autoFilter ref="A2:H18" xr:uid="{6B19EA76-FE33-4EDA-96A5-FB5AB6842877}"/>
  <tableColumns count="8">
    <tableColumn id="1" xr3:uid="{205B1937-36C2-4A79-ADEE-67B939CC6350}" name="Dated" dataDxfId="34"/>
    <tableColumn id="2" xr3:uid="{FC4A4194-EC0B-4123-AA2A-047F801393F9}" name="Opening Stock" dataDxfId="33"/>
    <tableColumn id="3" xr3:uid="{B9BA259A-905C-4F48-9EF9-1D3A771CDF0D}" name="Activated " dataDxfId="32"/>
    <tableColumn id="4" xr3:uid="{6B90C7CC-E86F-4D69-8B7A-1A5106E7671C}" name="Order Received" dataDxfId="31"/>
    <tableColumn id="5" xr3:uid="{52A7379A-F21F-428A-AC09-8DDD0314565C}" name="Closing Stock" dataDxfId="30"/>
    <tableColumn id="6" xr3:uid="{2D5B9A13-3A69-4B89-9385-0118C6E503AA}" name="Order Shift" dataDxfId="29"/>
    <tableColumn id="8" xr3:uid="{7A6C60CE-7C65-462E-936E-BEBFB199EEEA}" name="Tags Utilised" dataDxfId="28"/>
    <tableColumn id="7" xr3:uid="{3B8303E5-7229-40E9-B595-7FD79C903530}" name="Remark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26" dataDxfId="25">
  <autoFilter ref="K2:R18" xr:uid="{F5BFC800-1EAF-4967-B61B-9184746587CB}"/>
  <tableColumns count="8">
    <tableColumn id="1" xr3:uid="{EE8E16B4-53D2-438F-BDFF-22C4417244D7}" name="Dated" dataDxfId="24"/>
    <tableColumn id="2" xr3:uid="{4ED05A2F-B065-41B5-B1FC-755636A3BA21}" name="Opening Stock" dataDxfId="23"/>
    <tableColumn id="3" xr3:uid="{57285520-2C9E-4091-953B-03FBAFD5574E}" name="Activated " dataDxfId="22"/>
    <tableColumn id="4" xr3:uid="{26808A5F-3F95-45FD-91EE-BFADD8DB9C6A}" name="Order Received" dataDxfId="21"/>
    <tableColumn id="5" xr3:uid="{A95C8869-A6DD-4A00-8782-9276336A5840}" name="Closing Stock" dataDxfId="20"/>
    <tableColumn id="6" xr3:uid="{F683981E-ECFB-47E9-88E2-60A6694123E4}" name="Order Shift" dataDxfId="19"/>
    <tableColumn id="9" xr3:uid="{4862D1DC-BC5E-473F-B5F4-E4EDDBFBAEA8}" name="Tags Utilised" dataDxfId="18"/>
    <tableColumn id="7" xr3:uid="{59E58FF5-FBE8-4EA3-8C27-FDBB5D8347D8}" name="Remarks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16" dataDxfId="15">
  <autoFilter ref="U2:AB18" xr:uid="{C16732A9-DC14-4F77-B928-B2EA21A17DE3}"/>
  <tableColumns count="8">
    <tableColumn id="1" xr3:uid="{863EE3B3-D99D-40AA-9A97-8B87E908A619}" name="Dated" dataDxfId="14"/>
    <tableColumn id="2" xr3:uid="{7EBF6231-0A46-4C5A-8F44-07F6E8D58BD8}" name="Opening Stock" dataDxfId="13"/>
    <tableColumn id="3" xr3:uid="{7302BA2D-23E3-4355-A732-13358849E25E}" name="Activated " dataDxfId="12"/>
    <tableColumn id="4" xr3:uid="{C353FB1F-2706-4110-9F4C-867233885BE5}" name="Order Received" dataDxfId="11"/>
    <tableColumn id="5" xr3:uid="{1C608AFD-D32B-49BA-B588-B75035E109DA}" name="Closing Stock" dataDxfId="10"/>
    <tableColumn id="6" xr3:uid="{FF5D1709-231D-4967-81E2-C12033E82768}" name="Order Shift" dataDxfId="9"/>
    <tableColumn id="9" xr3:uid="{ABB4B85D-962C-4A1F-8D08-7E53D211DBB3}" name="Tags Utilised" dataDxfId="8"/>
    <tableColumn id="7" xr3:uid="{918E2430-DED3-4A6B-A818-8CD1C7AAFAEA}" name="Remarks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45"/>
  <sheetViews>
    <sheetView tabSelected="1" topLeftCell="A28" workbookViewId="0">
      <selection activeCell="G47" sqref="G47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1" t="s">
        <v>37</v>
      </c>
      <c r="B1" s="11"/>
      <c r="C1" s="11"/>
      <c r="D1" s="11"/>
      <c r="E1" s="12"/>
      <c r="F1" s="12"/>
      <c r="G1" s="12"/>
      <c r="H1" s="12"/>
      <c r="I1" s="12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45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 t="shared" ref="A31:A36" si="3"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 t="shared" si="3"/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 t="shared" si="3"/>
        <v>31</v>
      </c>
      <c r="B33" s="4"/>
      <c r="C33" s="4"/>
      <c r="D33" s="5"/>
      <c r="E33" s="4" t="s">
        <v>198</v>
      </c>
      <c r="F33" s="4">
        <v>50</v>
      </c>
      <c r="G33" s="4" t="s">
        <v>70</v>
      </c>
      <c r="H33" s="5">
        <v>46216</v>
      </c>
      <c r="I33" s="4"/>
    </row>
    <row r="34" spans="1:9" ht="15.75" x14ac:dyDescent="0.25">
      <c r="A34" s="4">
        <f t="shared" si="3"/>
        <v>32</v>
      </c>
      <c r="B34" s="4" t="s">
        <v>205</v>
      </c>
      <c r="C34" s="4">
        <v>500</v>
      </c>
      <c r="D34" s="5">
        <v>46240</v>
      </c>
      <c r="E34" s="4" t="s">
        <v>199</v>
      </c>
      <c r="F34" s="4">
        <v>100</v>
      </c>
      <c r="G34" s="4" t="s">
        <v>16</v>
      </c>
      <c r="H34" s="5">
        <v>46220</v>
      </c>
      <c r="I34" s="4" t="s">
        <v>200</v>
      </c>
    </row>
    <row r="35" spans="1:9" ht="15.75" x14ac:dyDescent="0.25">
      <c r="A35" s="4">
        <f t="shared" si="3"/>
        <v>33</v>
      </c>
      <c r="B35" s="4" t="s">
        <v>206</v>
      </c>
      <c r="C35" s="4">
        <v>250</v>
      </c>
      <c r="D35" s="5">
        <v>46240</v>
      </c>
      <c r="E35" s="4" t="s">
        <v>207</v>
      </c>
      <c r="F35" s="4">
        <v>250</v>
      </c>
      <c r="G35" s="4" t="s">
        <v>16</v>
      </c>
      <c r="H35" s="5">
        <v>46240</v>
      </c>
      <c r="I35" s="4" t="s">
        <v>72</v>
      </c>
    </row>
    <row r="36" spans="1:9" ht="15.75" x14ac:dyDescent="0.25">
      <c r="A36" s="4">
        <f t="shared" si="3"/>
        <v>34</v>
      </c>
      <c r="B36" s="4"/>
      <c r="C36" s="4"/>
      <c r="D36" s="5"/>
      <c r="E36" s="4" t="s">
        <v>214</v>
      </c>
      <c r="F36" s="4">
        <v>100</v>
      </c>
      <c r="G36" s="4" t="s">
        <v>16</v>
      </c>
      <c r="H36" s="5">
        <v>46263</v>
      </c>
      <c r="I36" s="4" t="s">
        <v>161</v>
      </c>
    </row>
    <row r="37" spans="1:9" ht="15.75" x14ac:dyDescent="0.25">
      <c r="A37" s="4">
        <f>ROW()-2</f>
        <v>35</v>
      </c>
      <c r="B37" s="4" t="s">
        <v>215</v>
      </c>
      <c r="C37" s="4">
        <v>750</v>
      </c>
      <c r="D37" s="5">
        <v>46273</v>
      </c>
      <c r="E37" s="4" t="s">
        <v>216</v>
      </c>
      <c r="F37" s="4">
        <v>250</v>
      </c>
      <c r="G37" s="4" t="s">
        <v>30</v>
      </c>
      <c r="H37" s="5">
        <v>46277</v>
      </c>
      <c r="I37" s="4"/>
    </row>
    <row r="38" spans="1:9" ht="15.75" x14ac:dyDescent="0.25">
      <c r="A38" s="4">
        <f>ROW()-2</f>
        <v>36</v>
      </c>
      <c r="B38" s="4"/>
      <c r="C38" s="4"/>
      <c r="D38" s="5"/>
      <c r="E38" s="4" t="s">
        <v>217</v>
      </c>
      <c r="F38" s="4">
        <v>250</v>
      </c>
      <c r="G38" s="4" t="s">
        <v>16</v>
      </c>
      <c r="H38" s="5">
        <v>46277</v>
      </c>
      <c r="I38" s="4"/>
    </row>
    <row r="39" spans="1:9" ht="15.75" x14ac:dyDescent="0.25">
      <c r="A39" s="4">
        <f>ROW()-2</f>
        <v>37</v>
      </c>
      <c r="B39" s="4"/>
      <c r="C39" s="4"/>
      <c r="D39" s="5"/>
      <c r="E39" s="4" t="s">
        <v>231</v>
      </c>
      <c r="F39" s="4">
        <v>50</v>
      </c>
      <c r="G39" s="4" t="s">
        <v>70</v>
      </c>
      <c r="H39" s="5">
        <v>46309</v>
      </c>
      <c r="I39" s="4"/>
    </row>
    <row r="40" spans="1:9" ht="15.75" x14ac:dyDescent="0.25">
      <c r="A40" s="4">
        <f>ROW()-2</f>
        <v>38</v>
      </c>
      <c r="B40" s="4"/>
      <c r="C40" s="4"/>
      <c r="D40" s="5"/>
      <c r="E40" s="4" t="s">
        <v>232</v>
      </c>
      <c r="F40" s="4">
        <v>50</v>
      </c>
      <c r="G40" s="4" t="s">
        <v>30</v>
      </c>
      <c r="H40" s="5">
        <v>46309</v>
      </c>
      <c r="I40" s="4"/>
    </row>
    <row r="41" spans="1:9" ht="15.75" x14ac:dyDescent="0.25">
      <c r="A41" s="4">
        <f>ROW()-2</f>
        <v>39</v>
      </c>
      <c r="B41" s="4"/>
      <c r="C41" s="4"/>
      <c r="D41" s="5"/>
      <c r="E41" s="4" t="s">
        <v>233</v>
      </c>
      <c r="F41" s="4">
        <v>150</v>
      </c>
      <c r="G41" s="4" t="s">
        <v>16</v>
      </c>
      <c r="H41" s="5">
        <v>46309</v>
      </c>
      <c r="I41" s="4" t="s">
        <v>161</v>
      </c>
    </row>
    <row r="42" spans="1:9" ht="15.75" x14ac:dyDescent="0.25">
      <c r="A42" s="4">
        <f>ROW()-2</f>
        <v>40</v>
      </c>
      <c r="B42" s="4"/>
      <c r="C42" s="4"/>
      <c r="D42" s="5"/>
      <c r="E42" s="4"/>
      <c r="F42" s="4"/>
      <c r="G42" s="4"/>
      <c r="H42" s="5"/>
      <c r="I42" s="4"/>
    </row>
    <row r="43" spans="1:9" ht="15.75" x14ac:dyDescent="0.25">
      <c r="A43" s="4">
        <f>ROW()-2</f>
        <v>41</v>
      </c>
      <c r="B43" s="4"/>
      <c r="C43" s="4"/>
      <c r="D43" s="5"/>
      <c r="E43" s="4"/>
      <c r="F43" s="4"/>
      <c r="G43" s="4"/>
      <c r="H43" s="5"/>
      <c r="I43" s="4"/>
    </row>
    <row r="44" spans="1:9" ht="15.75" x14ac:dyDescent="0.25">
      <c r="A44" s="4">
        <f>ROW()-2</f>
        <v>42</v>
      </c>
      <c r="B44" s="4"/>
      <c r="C44" s="4"/>
      <c r="D44" s="5"/>
      <c r="E44" s="4"/>
      <c r="F44" s="4"/>
      <c r="G44" s="4"/>
      <c r="H44" s="5"/>
      <c r="I44" s="4"/>
    </row>
    <row r="45" spans="1:9" ht="15.75" x14ac:dyDescent="0.25">
      <c r="A45" s="4">
        <f t="shared" si="0"/>
        <v>43</v>
      </c>
      <c r="B45" s="7" t="s">
        <v>153</v>
      </c>
      <c r="C45" s="7">
        <f>SUM(C3:C38)</f>
        <v>5947</v>
      </c>
      <c r="D45" s="4"/>
      <c r="E45" s="7" t="s">
        <v>153</v>
      </c>
      <c r="F45" s="7">
        <f>SUM(F3:F41)</f>
        <v>4692</v>
      </c>
      <c r="G45" s="4"/>
      <c r="H45" s="5"/>
      <c r="I45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64"/>
  <sheetViews>
    <sheetView topLeftCell="A41" workbookViewId="0">
      <selection activeCell="G63" sqref="G63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34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83</v>
      </c>
      <c r="C12" s="6" t="s">
        <v>84</v>
      </c>
      <c r="D12" s="6" t="s">
        <v>66</v>
      </c>
      <c r="E12" s="4" t="s">
        <v>16</v>
      </c>
      <c r="F12" s="4">
        <v>10</v>
      </c>
      <c r="G12" s="5">
        <v>46062</v>
      </c>
      <c r="H12" s="4" t="s">
        <v>44</v>
      </c>
    </row>
    <row r="13" spans="1:8" ht="15.75" x14ac:dyDescent="0.25">
      <c r="A13" s="4">
        <f t="shared" si="0"/>
        <v>11</v>
      </c>
      <c r="B13" s="6" t="s">
        <v>52</v>
      </c>
      <c r="C13" s="6" t="s">
        <v>51</v>
      </c>
      <c r="D13" s="6" t="s">
        <v>67</v>
      </c>
      <c r="E13" s="6" t="s">
        <v>16</v>
      </c>
      <c r="F13" s="4">
        <v>100</v>
      </c>
      <c r="G13" s="5">
        <v>46025</v>
      </c>
      <c r="H13" s="4" t="s">
        <v>53</v>
      </c>
    </row>
    <row r="14" spans="1:8" ht="15.75" x14ac:dyDescent="0.25">
      <c r="A14" s="4">
        <f t="shared" si="0"/>
        <v>12</v>
      </c>
      <c r="B14" s="6" t="s">
        <v>81</v>
      </c>
      <c r="C14" s="6" t="s">
        <v>82</v>
      </c>
      <c r="D14" s="6" t="s">
        <v>67</v>
      </c>
      <c r="E14" s="6" t="s">
        <v>13</v>
      </c>
      <c r="F14" s="4">
        <v>100</v>
      </c>
      <c r="G14" s="5">
        <v>46027</v>
      </c>
      <c r="H14" s="4" t="s">
        <v>78</v>
      </c>
    </row>
    <row r="15" spans="1:8" ht="15.75" x14ac:dyDescent="0.25">
      <c r="A15" s="4">
        <f t="shared" si="0"/>
        <v>13</v>
      </c>
      <c r="B15" s="6" t="s">
        <v>55</v>
      </c>
      <c r="C15" s="6" t="s">
        <v>54</v>
      </c>
      <c r="D15" s="6" t="s">
        <v>67</v>
      </c>
      <c r="E15" s="4" t="s">
        <v>17</v>
      </c>
      <c r="F15" s="4">
        <v>99</v>
      </c>
      <c r="G15" s="5">
        <v>46026</v>
      </c>
      <c r="H15" s="4" t="s">
        <v>56</v>
      </c>
    </row>
    <row r="16" spans="1:8" ht="15.75" x14ac:dyDescent="0.25">
      <c r="A16" s="4">
        <f t="shared" si="0"/>
        <v>14</v>
      </c>
      <c r="B16" s="6" t="s">
        <v>57</v>
      </c>
      <c r="C16" s="6" t="s">
        <v>79</v>
      </c>
      <c r="D16" s="6" t="s">
        <v>67</v>
      </c>
      <c r="E16" s="4" t="s">
        <v>13</v>
      </c>
      <c r="F16" s="4">
        <v>25</v>
      </c>
      <c r="G16" s="5">
        <v>46042</v>
      </c>
      <c r="H16" s="4" t="s">
        <v>78</v>
      </c>
    </row>
    <row r="17" spans="1:8" ht="15.75" x14ac:dyDescent="0.25">
      <c r="A17" s="4">
        <f t="shared" si="0"/>
        <v>15</v>
      </c>
      <c r="B17" s="6" t="s">
        <v>60</v>
      </c>
      <c r="C17" s="6" t="s">
        <v>59</v>
      </c>
      <c r="D17" s="6" t="s">
        <v>67</v>
      </c>
      <c r="E17" s="4" t="s">
        <v>16</v>
      </c>
      <c r="F17" s="4">
        <v>98</v>
      </c>
      <c r="G17" s="5">
        <v>46032</v>
      </c>
      <c r="H17" s="4" t="s">
        <v>61</v>
      </c>
    </row>
    <row r="18" spans="1:8" ht="15.75" x14ac:dyDescent="0.25">
      <c r="A18" s="4">
        <f t="shared" si="0"/>
        <v>16</v>
      </c>
      <c r="B18" s="6" t="s">
        <v>62</v>
      </c>
      <c r="C18" s="6" t="s">
        <v>62</v>
      </c>
      <c r="D18" s="6" t="s">
        <v>67</v>
      </c>
      <c r="E18" s="4" t="s">
        <v>13</v>
      </c>
      <c r="F18" s="4">
        <v>50</v>
      </c>
      <c r="G18" s="5">
        <v>46042</v>
      </c>
      <c r="H18" s="4" t="s">
        <v>78</v>
      </c>
    </row>
    <row r="19" spans="1:8" ht="15.75" x14ac:dyDescent="0.25">
      <c r="A19" s="4">
        <f t="shared" si="0"/>
        <v>17</v>
      </c>
      <c r="B19" s="6" t="s">
        <v>63</v>
      </c>
      <c r="C19" s="6" t="s">
        <v>64</v>
      </c>
      <c r="D19" s="6" t="s">
        <v>67</v>
      </c>
      <c r="E19" s="4" t="s">
        <v>68</v>
      </c>
      <c r="F19" s="4">
        <v>4</v>
      </c>
      <c r="G19" s="5">
        <v>46032</v>
      </c>
      <c r="H19" s="4" t="s">
        <v>69</v>
      </c>
    </row>
    <row r="20" spans="1:8" ht="15.75" x14ac:dyDescent="0.25">
      <c r="A20" s="4">
        <f t="shared" si="0"/>
        <v>18</v>
      </c>
      <c r="B20" s="6" t="s">
        <v>80</v>
      </c>
      <c r="C20" s="6" t="s">
        <v>58</v>
      </c>
      <c r="D20" s="6" t="s">
        <v>67</v>
      </c>
      <c r="E20" s="4" t="s">
        <v>17</v>
      </c>
      <c r="F20" s="4">
        <v>25</v>
      </c>
      <c r="G20" s="5">
        <v>46031</v>
      </c>
      <c r="H20" s="4"/>
    </row>
    <row r="21" spans="1:8" ht="15.75" x14ac:dyDescent="0.25">
      <c r="A21" s="4">
        <f t="shared" si="0"/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si="0"/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0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0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0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0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0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0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0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0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0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0"/>
        <v>30</v>
      </c>
      <c r="B32" s="6" t="s">
        <v>130</v>
      </c>
      <c r="C32" s="6" t="s">
        <v>132</v>
      </c>
      <c r="D32" s="6" t="s">
        <v>124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0"/>
        <v>31</v>
      </c>
      <c r="B33" s="6" t="s">
        <v>133</v>
      </c>
      <c r="C33" s="6" t="s">
        <v>134</v>
      </c>
      <c r="D33" s="6" t="s">
        <v>124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0"/>
        <v>32</v>
      </c>
      <c r="B34" s="6" t="s">
        <v>136</v>
      </c>
      <c r="C34" s="6" t="s">
        <v>137</v>
      </c>
      <c r="D34" s="6" t="s">
        <v>124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 t="shared" ref="A35:A63" si="1">ROW()-2</f>
        <v>33</v>
      </c>
      <c r="B35" s="6" t="s">
        <v>150</v>
      </c>
      <c r="C35" s="6" t="s">
        <v>150</v>
      </c>
      <c r="D35" s="6" t="s">
        <v>124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 t="shared" si="1"/>
        <v>34</v>
      </c>
      <c r="B36" s="6" t="s">
        <v>151</v>
      </c>
      <c r="C36" s="6" t="s">
        <v>152</v>
      </c>
      <c r="D36" s="6" t="s">
        <v>124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124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124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si="1"/>
        <v>37</v>
      </c>
      <c r="B39" s="6" t="s">
        <v>158</v>
      </c>
      <c r="C39" s="6" t="s">
        <v>157</v>
      </c>
      <c r="D39" s="6" t="s">
        <v>124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1"/>
        <v>38</v>
      </c>
      <c r="B40" s="6" t="s">
        <v>171</v>
      </c>
      <c r="C40" s="6" t="s">
        <v>172</v>
      </c>
      <c r="D40" s="6" t="s">
        <v>131</v>
      </c>
      <c r="E40" s="4" t="s">
        <v>16</v>
      </c>
      <c r="F40" s="4">
        <v>200</v>
      </c>
      <c r="G40" s="5">
        <v>46205</v>
      </c>
      <c r="H40" s="4" t="s">
        <v>201</v>
      </c>
    </row>
    <row r="41" spans="1:8" ht="15.75" x14ac:dyDescent="0.25">
      <c r="A41" s="4">
        <f t="shared" si="1"/>
        <v>39</v>
      </c>
      <c r="B41" s="6" t="s">
        <v>174</v>
      </c>
      <c r="C41" s="6" t="s">
        <v>175</v>
      </c>
      <c r="D41" s="6" t="s">
        <v>131</v>
      </c>
      <c r="E41" s="4" t="s">
        <v>16</v>
      </c>
      <c r="F41" s="4">
        <v>25</v>
      </c>
      <c r="G41" s="5">
        <v>46205</v>
      </c>
      <c r="H41" s="4"/>
    </row>
    <row r="42" spans="1:8" ht="15.75" x14ac:dyDescent="0.25">
      <c r="A42" s="4">
        <f t="shared" si="1"/>
        <v>40</v>
      </c>
      <c r="B42" s="6" t="s">
        <v>176</v>
      </c>
      <c r="C42" s="6" t="s">
        <v>179</v>
      </c>
      <c r="D42" s="6" t="s">
        <v>131</v>
      </c>
      <c r="E42" s="4" t="s">
        <v>13</v>
      </c>
      <c r="F42" s="4">
        <v>185</v>
      </c>
      <c r="G42" s="5">
        <v>46205</v>
      </c>
      <c r="H42" s="4"/>
    </row>
    <row r="43" spans="1:8" ht="15.75" x14ac:dyDescent="0.25">
      <c r="A43" s="4">
        <f t="shared" si="1"/>
        <v>41</v>
      </c>
      <c r="B43" s="6" t="s">
        <v>177</v>
      </c>
      <c r="C43" s="6" t="s">
        <v>178</v>
      </c>
      <c r="D43" s="6" t="s">
        <v>131</v>
      </c>
      <c r="E43" s="4" t="s">
        <v>13</v>
      </c>
      <c r="F43" s="4">
        <v>15</v>
      </c>
      <c r="G43" s="5">
        <v>46205</v>
      </c>
      <c r="H43" s="4"/>
    </row>
    <row r="44" spans="1:8" ht="15.75" x14ac:dyDescent="0.25">
      <c r="A44" s="4">
        <f t="shared" si="1"/>
        <v>42</v>
      </c>
      <c r="B44" s="6" t="s">
        <v>180</v>
      </c>
      <c r="C44" s="6" t="s">
        <v>181</v>
      </c>
      <c r="D44" s="6" t="s">
        <v>131</v>
      </c>
      <c r="E44" s="4" t="s">
        <v>17</v>
      </c>
      <c r="F44" s="4">
        <v>41</v>
      </c>
      <c r="G44" s="5">
        <v>46205</v>
      </c>
      <c r="H44" s="4"/>
    </row>
    <row r="45" spans="1:8" ht="15.75" x14ac:dyDescent="0.25">
      <c r="A45" s="4">
        <f t="shared" si="1"/>
        <v>43</v>
      </c>
      <c r="B45" s="6" t="s">
        <v>182</v>
      </c>
      <c r="C45" s="6" t="s">
        <v>183</v>
      </c>
      <c r="D45" s="6" t="s">
        <v>131</v>
      </c>
      <c r="E45" s="4" t="s">
        <v>17</v>
      </c>
      <c r="F45" s="4">
        <v>24</v>
      </c>
      <c r="G45" s="5">
        <v>46205</v>
      </c>
      <c r="H45" s="4"/>
    </row>
    <row r="46" spans="1:8" ht="15.75" x14ac:dyDescent="0.25">
      <c r="A46" s="4">
        <f t="shared" si="1"/>
        <v>44</v>
      </c>
      <c r="B46" s="6" t="s">
        <v>184</v>
      </c>
      <c r="C46" s="6" t="s">
        <v>185</v>
      </c>
      <c r="D46" s="6" t="s">
        <v>131</v>
      </c>
      <c r="E46" s="4" t="s">
        <v>17</v>
      </c>
      <c r="F46" s="4">
        <v>8</v>
      </c>
      <c r="G46" s="5">
        <v>46205</v>
      </c>
      <c r="H46" s="4"/>
    </row>
    <row r="47" spans="1:8" ht="15.75" x14ac:dyDescent="0.25">
      <c r="A47" s="4">
        <f t="shared" si="1"/>
        <v>45</v>
      </c>
      <c r="B47" s="6" t="s">
        <v>186</v>
      </c>
      <c r="C47" s="6" t="s">
        <v>187</v>
      </c>
      <c r="D47" s="6" t="s">
        <v>131</v>
      </c>
      <c r="E47" s="4" t="s">
        <v>17</v>
      </c>
      <c r="F47" s="4">
        <v>2</v>
      </c>
      <c r="G47" s="5">
        <v>46205</v>
      </c>
      <c r="H47" s="4"/>
    </row>
    <row r="48" spans="1:8" ht="15.75" x14ac:dyDescent="0.25">
      <c r="A48" s="4">
        <f t="shared" si="1"/>
        <v>46</v>
      </c>
      <c r="B48" s="6" t="s">
        <v>203</v>
      </c>
      <c r="C48" s="6" t="s">
        <v>204</v>
      </c>
      <c r="D48" s="6" t="s">
        <v>173</v>
      </c>
      <c r="E48" s="4" t="s">
        <v>195</v>
      </c>
      <c r="F48" s="4">
        <v>200</v>
      </c>
      <c r="G48" s="5">
        <v>46227</v>
      </c>
      <c r="H48" s="4"/>
    </row>
    <row r="49" spans="1:8" ht="15.75" x14ac:dyDescent="0.25">
      <c r="A49" s="4">
        <f t="shared" si="1"/>
        <v>47</v>
      </c>
      <c r="B49" s="6" t="s">
        <v>208</v>
      </c>
      <c r="C49" s="6" t="s">
        <v>209</v>
      </c>
      <c r="D49" s="6" t="s">
        <v>173</v>
      </c>
      <c r="E49" s="4" t="s">
        <v>13</v>
      </c>
      <c r="F49" s="4">
        <v>150</v>
      </c>
      <c r="G49" s="5">
        <v>46253</v>
      </c>
      <c r="H49" s="4" t="s">
        <v>210</v>
      </c>
    </row>
    <row r="50" spans="1:8" ht="15.75" x14ac:dyDescent="0.25">
      <c r="A50" s="4">
        <f t="shared" si="1"/>
        <v>48</v>
      </c>
      <c r="B50" s="6" t="s">
        <v>209</v>
      </c>
      <c r="C50" s="6" t="s">
        <v>211</v>
      </c>
      <c r="D50" s="6" t="s">
        <v>173</v>
      </c>
      <c r="E50" s="4" t="s">
        <v>17</v>
      </c>
      <c r="F50" s="4">
        <v>100</v>
      </c>
      <c r="G50" s="5">
        <v>46262</v>
      </c>
      <c r="H50" s="4"/>
    </row>
    <row r="51" spans="1:8" ht="15.75" x14ac:dyDescent="0.25">
      <c r="A51" s="4">
        <f t="shared" si="1"/>
        <v>49</v>
      </c>
      <c r="B51" s="6" t="s">
        <v>212</v>
      </c>
      <c r="C51" s="6" t="s">
        <v>213</v>
      </c>
      <c r="D51" s="6" t="s">
        <v>173</v>
      </c>
      <c r="E51" s="4" t="s">
        <v>195</v>
      </c>
      <c r="F51" s="4">
        <v>50</v>
      </c>
      <c r="G51" s="5">
        <v>46262</v>
      </c>
      <c r="H51" s="4" t="s">
        <v>161</v>
      </c>
    </row>
    <row r="52" spans="1:8" ht="15.75" x14ac:dyDescent="0.25">
      <c r="A52" s="4">
        <f t="shared" si="1"/>
        <v>50</v>
      </c>
      <c r="B52" s="6" t="s">
        <v>219</v>
      </c>
      <c r="C52" s="6" t="s">
        <v>218</v>
      </c>
      <c r="D52" s="6" t="s">
        <v>202</v>
      </c>
      <c r="E52" s="4" t="s">
        <v>17</v>
      </c>
      <c r="F52" s="4">
        <v>150</v>
      </c>
      <c r="G52" s="5">
        <v>46277</v>
      </c>
      <c r="H52" s="4"/>
    </row>
    <row r="53" spans="1:8" ht="15.75" x14ac:dyDescent="0.25">
      <c r="A53" s="4">
        <f t="shared" si="1"/>
        <v>51</v>
      </c>
      <c r="B53" s="6" t="s">
        <v>220</v>
      </c>
      <c r="C53" s="6" t="s">
        <v>221</v>
      </c>
      <c r="D53" s="6" t="s">
        <v>202</v>
      </c>
      <c r="E53" s="4" t="s">
        <v>13</v>
      </c>
      <c r="F53" s="4">
        <v>150</v>
      </c>
      <c r="G53" s="5">
        <v>46277</v>
      </c>
      <c r="H53" s="4"/>
    </row>
    <row r="54" spans="1:8" ht="15.75" x14ac:dyDescent="0.25">
      <c r="A54" s="4">
        <f t="shared" si="1"/>
        <v>52</v>
      </c>
      <c r="B54" s="6" t="s">
        <v>222</v>
      </c>
      <c r="C54" s="6" t="s">
        <v>223</v>
      </c>
      <c r="D54" s="6" t="s">
        <v>202</v>
      </c>
      <c r="E54" s="4" t="s">
        <v>195</v>
      </c>
      <c r="F54" s="4">
        <v>200</v>
      </c>
      <c r="G54" s="5">
        <v>46277</v>
      </c>
      <c r="H54" s="4"/>
    </row>
    <row r="55" spans="1:8" ht="15.75" x14ac:dyDescent="0.25">
      <c r="A55" s="4">
        <f t="shared" si="1"/>
        <v>53</v>
      </c>
      <c r="B55" s="6" t="s">
        <v>165</v>
      </c>
      <c r="C55" s="6" t="s">
        <v>166</v>
      </c>
      <c r="D55" s="6" t="s">
        <v>169</v>
      </c>
      <c r="E55" s="4" t="s">
        <v>16</v>
      </c>
      <c r="F55" s="4">
        <v>27</v>
      </c>
      <c r="G55" s="5">
        <v>46196</v>
      </c>
      <c r="H55" s="4" t="s">
        <v>170</v>
      </c>
    </row>
    <row r="56" spans="1:8" ht="15.75" x14ac:dyDescent="0.25">
      <c r="A56" s="4">
        <f t="shared" si="1"/>
        <v>54</v>
      </c>
      <c r="B56" s="6" t="s">
        <v>167</v>
      </c>
      <c r="C56" s="6" t="s">
        <v>168</v>
      </c>
      <c r="D56" s="6" t="s">
        <v>169</v>
      </c>
      <c r="E56" s="4" t="s">
        <v>16</v>
      </c>
      <c r="F56" s="4">
        <v>2</v>
      </c>
      <c r="G56" s="5">
        <v>46196</v>
      </c>
      <c r="H56" s="4" t="s">
        <v>170</v>
      </c>
    </row>
    <row r="57" spans="1:8" ht="15.75" x14ac:dyDescent="0.25">
      <c r="A57" s="4">
        <f t="shared" si="1"/>
        <v>55</v>
      </c>
      <c r="B57" s="6" t="s">
        <v>224</v>
      </c>
      <c r="C57" s="6" t="s">
        <v>225</v>
      </c>
      <c r="D57" s="6" t="s">
        <v>226</v>
      </c>
      <c r="E57" s="4" t="s">
        <v>13</v>
      </c>
      <c r="F57" s="4">
        <v>100</v>
      </c>
      <c r="G57" s="5">
        <v>46300</v>
      </c>
      <c r="H57" s="4"/>
    </row>
    <row r="58" spans="1:8" ht="15.75" x14ac:dyDescent="0.25">
      <c r="A58" s="4">
        <f t="shared" si="1"/>
        <v>56</v>
      </c>
      <c r="B58" s="6" t="s">
        <v>227</v>
      </c>
      <c r="C58" s="6" t="s">
        <v>228</v>
      </c>
      <c r="D58" s="6" t="s">
        <v>226</v>
      </c>
      <c r="E58" s="4" t="s">
        <v>13</v>
      </c>
      <c r="F58" s="4">
        <v>50</v>
      </c>
      <c r="G58" s="5"/>
      <c r="H58" s="4"/>
    </row>
    <row r="59" spans="1:8" ht="15.75" x14ac:dyDescent="0.25">
      <c r="A59" s="4">
        <f t="shared" si="1"/>
        <v>57</v>
      </c>
      <c r="B59" s="6" t="s">
        <v>229</v>
      </c>
      <c r="C59" s="6" t="s">
        <v>230</v>
      </c>
      <c r="D59" s="6" t="s">
        <v>226</v>
      </c>
      <c r="E59" s="4" t="s">
        <v>17</v>
      </c>
      <c r="F59" s="4">
        <v>100</v>
      </c>
      <c r="G59" s="5"/>
      <c r="H59" s="4"/>
    </row>
    <row r="60" spans="1:8" ht="15.75" x14ac:dyDescent="0.25">
      <c r="A60" s="4">
        <f>ROW()-2</f>
        <v>58</v>
      </c>
      <c r="B60" s="6"/>
      <c r="C60" s="6"/>
      <c r="D60" s="6"/>
      <c r="E60" s="4"/>
      <c r="F60" s="4"/>
      <c r="G60" s="5"/>
      <c r="H60" s="4"/>
    </row>
    <row r="61" spans="1:8" ht="15.75" x14ac:dyDescent="0.25">
      <c r="A61" s="4">
        <f>ROW()-2</f>
        <v>59</v>
      </c>
      <c r="B61" s="6"/>
      <c r="C61" s="6"/>
      <c r="D61" s="6"/>
      <c r="E61" s="4"/>
      <c r="F61" s="4"/>
      <c r="G61" s="5"/>
      <c r="H61" s="4"/>
    </row>
    <row r="62" spans="1:8" ht="15.75" x14ac:dyDescent="0.25">
      <c r="A62" s="4">
        <f>ROW()-2</f>
        <v>60</v>
      </c>
      <c r="B62" s="6"/>
      <c r="C62" s="6"/>
      <c r="D62" s="6"/>
      <c r="E62" s="4"/>
      <c r="F62" s="4"/>
      <c r="G62" s="5"/>
      <c r="H62" s="4"/>
    </row>
    <row r="63" spans="1:8" ht="15.75" x14ac:dyDescent="0.25">
      <c r="A63" s="4">
        <f t="shared" si="1"/>
        <v>61</v>
      </c>
      <c r="B63" s="6"/>
      <c r="C63" s="6"/>
      <c r="D63" s="6"/>
      <c r="E63" s="7" t="s">
        <v>153</v>
      </c>
      <c r="F63" s="7">
        <f>SUM(F3:F59)</f>
        <v>4194</v>
      </c>
      <c r="G63" s="4"/>
      <c r="H63" s="4"/>
    </row>
    <row r="64" spans="1:8" x14ac:dyDescent="0.25">
      <c r="C64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zoomScaleNormal="100" workbookViewId="0">
      <selection activeCell="D18" sqref="D18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3" t="s">
        <v>194</v>
      </c>
      <c r="B1" s="14"/>
      <c r="C1" s="14"/>
      <c r="D1" s="14"/>
      <c r="E1" s="14"/>
      <c r="F1" s="14"/>
      <c r="G1" s="14"/>
      <c r="H1" s="14"/>
      <c r="K1" s="13" t="s">
        <v>195</v>
      </c>
      <c r="L1" s="14"/>
      <c r="M1" s="14"/>
      <c r="N1" s="14"/>
      <c r="O1" s="14"/>
      <c r="P1" s="14"/>
      <c r="Q1" s="14"/>
      <c r="R1" s="14"/>
      <c r="U1" s="13" t="s">
        <v>196</v>
      </c>
      <c r="V1" s="13"/>
      <c r="W1" s="13"/>
      <c r="X1" s="13"/>
      <c r="Y1" s="13"/>
      <c r="Z1" s="13"/>
      <c r="AA1" s="13"/>
      <c r="AB1" s="13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2026-10-14T11:31:41Z</dcterms:modified>
</cp:coreProperties>
</file>