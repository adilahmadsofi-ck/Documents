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5BF48B-CAC1-4F3F-B8B7-BEB6B4525A8F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2" l="1"/>
  <c r="A27" i="2"/>
  <c r="A28" i="2"/>
  <c r="A29" i="2"/>
  <c r="A34" i="4"/>
  <c r="A35" i="4"/>
  <c r="A36" i="4"/>
  <c r="A37" i="4"/>
  <c r="C30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<sst xmlns="http://schemas.openxmlformats.org/spreadsheetml/2006/main" count="249" uniqueCount="147">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</sst>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0" headerRowDxfId="29" dataDxfId="28">
  <autoFilter ref="A2:I30" xr:uid="{CA5C59B6-CE46-4417-A1E1-57B514AE8648}"/>
  <sortState xmlns:xlrd2="http://schemas.microsoft.com/office/spreadsheetml/2017/richdata2" ref="A3:I30">
    <sortCondition ref="H2:H30"/>
  </sortState>
  <tableColumns count="9">
    <tableColumn id="1" xr3:uid="{F980782F-9663-4F3B-A4B5-72E20C146CA6}" name="S.No." dataDxfId="27" totalsRowDxfId="8">
      <calculatedColumnFormula>ROW()-2</calculatedColumnFormula>
    </tableColumn>
    <tableColumn id="4" xr3:uid="{41F3F928-C5F4-479D-8794-38082DFADE30}" name="Serial" dataDxfId="26" totalsRowDxfId="7"/>
    <tableColumn id="9" xr3:uid="{6551D741-ECEA-463A-A282-9E465AC65D87}" name="RTO Rc Rec" dataDxfId="25" totalsRowDxfId="6"/>
    <tableColumn id="10" xr3:uid="{27CFA8EB-0A9B-4187-B61B-83F48466BC43}" name="Date" dataDxfId="24" totalsRowDxfId="5"/>
    <tableColumn id="2" xr3:uid="{24379A66-65E1-4060-BC95-F052DEABD945}" name="Card Number" dataDxfId="23" totalsRowDxfId="4"/>
    <tableColumn id="3" xr3:uid="{00D6D077-3271-44BD-842C-3A558BFFF932}" name="Qty" dataDxfId="22" totalsRowDxfId="3"/>
    <tableColumn id="11" xr3:uid="{2DE97642-A764-4067-B347-A03241193D5E}" name="Channel" dataDxfId="21" totalsRowDxfId="2"/>
    <tableColumn id="5" xr3:uid="{BE80955F-5DAA-4ECC-BB79-381C74EB834B}" name="Date2" dataDxfId="20" totalsRowDxfId="1"/>
    <tableColumn id="6" xr3:uid="{DD8A9FCE-3112-4052-BE00-322420D04B3B}" name="Status" dataDxfId="1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18" dataDxfId="17">
  <autoFilter ref="A2:H37" xr:uid="{2EA62A60-EA8D-4084-B62D-130D765E6A2D}"/>
  <tableColumns count="8">
    <tableColumn id="1" xr3:uid="{D895DD5F-5560-4AF1-98F6-84C7CF0CAA78}" name="S.No." dataDxfId="16">
      <calculatedColumnFormula>ROW()-2</calculatedColumnFormula>
    </tableColumn>
    <tableColumn id="2" xr3:uid="{C4BD8CC6-1DCF-46B4-9447-0D35200C9F6A}" name="Barcode Start No." dataDxfId="15"/>
    <tableColumn id="3" xr3:uid="{B46DB2E9-DEA3-4BCC-AF88-DC78CE972E00}" name="Barcode End No." dataDxfId="14"/>
    <tableColumn id="8" xr3:uid="{64D5D4EA-324D-44CA-A67C-7C8E63C1A56D}" name="Order" dataDxfId="13"/>
    <tableColumn id="4" xr3:uid="{8F1E792C-D591-45D4-9CC6-26DC7EE74461}" name="Channel / Location" dataDxfId="12"/>
    <tableColumn id="5" xr3:uid="{42F3602C-20CA-409C-B4D2-ECCE3474294B}" name="Tags Qty" dataDxfId="11"/>
    <tableColumn id="6" xr3:uid="{10B0A880-1CFD-44B1-B9CD-5A12B7D02111}" name="Dated" dataDxfId="10"/>
    <tableColumn id="7" xr3:uid="{39B403C8-70C4-401B-B460-C0A55C193E92}" name="Remark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36" dataDxfId="35">
  <autoFilter ref="A1:E31" xr:uid="{B6DB94FA-761F-4463-AB42-A4061069BAA5}"/>
  <tableColumns count="5">
    <tableColumn id="1" xr3:uid="{1D31F252-7F75-4ACE-8E4E-970F96D5D0FB}" name="S.No." dataDxfId="34">
      <calculatedColumnFormula>ROW()-1</calculatedColumnFormula>
    </tableColumn>
    <tableColumn id="2" xr3:uid="{5C2AFA5C-CFD5-43A7-83E2-31A9A1E8AA6E}" name="NAME" dataDxfId="33"/>
    <tableColumn id="3" xr3:uid="{194B191E-FB6F-4E26-9A5A-32D004AC4649}" name="DESIGNATION" dataDxfId="32"/>
    <tableColumn id="6" xr3:uid="{C758F67A-2E84-46C0-BF1E-17717F5D79AC}" name="CONTACT" dataDxfId="31"/>
    <tableColumn id="4" xr3:uid="{6C0116B5-2941-4E11-AD47-2ECED03BE947}" name="LOCATION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0"/>
  <sheetViews>
    <sheetView tabSelected="1" topLeftCell="A10" workbookViewId="0">
      <selection activeCell="C30" sqref="C30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>ROW()-2</f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143</v>
      </c>
      <c r="F26" s="4">
        <v>150</v>
      </c>
      <c r="G26" s="4" t="s">
        <v>30</v>
      </c>
      <c r="H26" s="5">
        <v>46181</v>
      </c>
      <c r="I26" s="4"/>
    </row>
    <row r="27" spans="1:9" ht="15.75" x14ac:dyDescent="0.25">
      <c r="A27" s="4">
        <f>ROW()-2</f>
        <v>25</v>
      </c>
      <c r="B27" s="4"/>
      <c r="C27" s="4"/>
      <c r="D27" s="5"/>
      <c r="E27" s="4" t="s">
        <v>145</v>
      </c>
      <c r="F27" s="4">
        <v>45</v>
      </c>
      <c r="G27" s="4" t="s">
        <v>16</v>
      </c>
      <c r="H27" s="5">
        <v>46185</v>
      </c>
      <c r="I27" s="4" t="s">
        <v>129</v>
      </c>
    </row>
    <row r="28" spans="1:9" ht="15.75" x14ac:dyDescent="0.25">
      <c r="A28" s="4">
        <f>ROW()-2</f>
        <v>26</v>
      </c>
      <c r="B28" s="4"/>
      <c r="C28" s="4"/>
      <c r="D28" s="5"/>
      <c r="E28" s="4" t="s">
        <v>146</v>
      </c>
      <c r="F28" s="4">
        <v>47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>ROW()-2</f>
        <v>27</v>
      </c>
      <c r="B29" s="4"/>
      <c r="C29" s="4"/>
      <c r="D29" s="5"/>
      <c r="E29" s="4"/>
      <c r="F29" s="4"/>
      <c r="G29" s="4"/>
      <c r="H29" s="5"/>
      <c r="I29" s="4"/>
    </row>
    <row r="30" spans="1:9" ht="15.75" x14ac:dyDescent="0.25">
      <c r="A30" s="4">
        <f t="shared" si="0"/>
        <v>28</v>
      </c>
      <c r="B30" s="4"/>
      <c r="C30" s="7">
        <f>SUM(C4:C26)</f>
        <v>3697</v>
      </c>
      <c r="D30" s="4"/>
      <c r="E30" s="4"/>
      <c r="F30" s="7">
        <f>SUM(F3:F28)</f>
        <v>2892</v>
      </c>
      <c r="G30" s="4"/>
      <c r="H30" s="5"/>
      <c r="I3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22" workbookViewId="0">
      <selection activeCell="F33" sqref="F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2026-06-12T12:13:06Z</dcterms:modified>
</cp:coreProperties>
</file>