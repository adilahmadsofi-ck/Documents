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17054E80-4500-4165-A87C-7CEA86647887}" xr6:coauthVersionLast="47" xr6:coauthVersionMax="47" xr10:uidLastSave="{00000000-0000-0000-0000-000000000000}"/>
  <bookViews>
    <workbookView xWindow="-120" yWindow="-120" windowWidth="24240" windowHeight="13020" tabRatio="599" xr2:uid="{3B4A4B74-8526-405E-95DA-3922D64EB034}"/>
  </bookViews>
  <sheets>
    <sheet name="RC" sheetId="2" r:id="rId1"/>
    <sheet name="FASTag" sheetId="4" r:id="rId2"/>
    <sheet name="Contact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2" i="2" l="1"/>
  <c r="A23" i="2"/>
  <c r="A24" i="2"/>
  <c r="A19" i="2"/>
  <c r="A20" i="2"/>
  <c r="C25" i="2"/>
  <c r="F25" i="2"/>
  <c r="A29" i="4"/>
  <c r="A30" i="4"/>
  <c r="A16" i="2"/>
  <c r="A17" i="2"/>
  <c r="A18" i="2"/>
  <c r="A21" i="2"/>
  <c r="A24" i="4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A25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<sst xmlns="http://schemas.openxmlformats.org/spreadsheetml/2006/main" count="206" uniqueCount="122">
  <si>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</si>
  <si>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</si>
  <si>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</si>
  <si>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</si>
  <si>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</si>
  <si>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</si>
  <si>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</si>
  <si>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</si>
  <si>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</si>
  <si>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</si>
  <si>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</si>
  <si>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</si>
  <si>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</si>
  <si>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</si>
  <si>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</si>
  <si>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</si>
  <si>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</si>
  <si>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</si>
  <si>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</si>
  <si>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</si>
  <si>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</si>
  <si>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</si>
  <si>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</si>
  <si>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</si>
  <si>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</si>
  <si>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</si>
  <si>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</si>
  <si>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</si>
  <si>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</si>
  <si>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</si>
  <si>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</si>
  <si>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</si>
  <si>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</si>
  <si>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</si>
  <si>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</si>
  <si>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</si>
  <si>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</si>
  <si>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</si>
  <si>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</si>
  <si>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</si>
  <si>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</si>
  <si>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</si>
  <si>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</si>
  <si>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</si>
  <si>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</si>
  <si>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</si>
  <si>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</si>
  <si>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</si>
  <si>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</si>
  <si>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</si>
  <si>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</si>
  <si>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</si>
  <si>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</si>
  <si>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</si>
  <si>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</si>
  <si>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</si>
  <si>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</si>
  <si>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</si>
  <si>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</si>
  <si>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</si>
  <si>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</si>
  <si>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</si>
  <si>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</si>
  <si>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</si>
  <si>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</si>
  <si>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</si>
  <si>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</si>
  <si>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</si>
  <si>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</si>
  <si>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</si>
  <si>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</si>
  <si>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</si>
  <si>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</si>
  <si>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</si>
  <si>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</si>
  <si>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</si>
  <si>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</si>
  <si>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</si>
  <si>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</si>
  <si>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</si>
  <si>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</si>
  <si>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</si>
  <si>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</si>
  <si>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</si>
  <si>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</si>
  <si>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</si>
  <si>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</si>
  <si>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</si>
  <si>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</si>
  <si>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</si>
  <si>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</si>
  <si>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</si>
  <si>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</si>
  <si>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</si>
  <si>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</si>
  <si>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</si>
  <si>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</si>
  <si>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</si>
  <si>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</si>
  <si>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</si>
  <si>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</si>
  <si>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</si>
  <si>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</si>
  <si>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</si>
  <si>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</si>
  <si>
    <t>JK0128251 - JK0128350</t>
  </si>
  <si>
    <t>YAWAR AT ARENA</t>
  </si>
  <si>
    <t>Order 4</t>
  </si>
  <si>
    <t>608268-006-0288700</t>
  </si>
  <si>
    <t>607529-019-0422442</t>
  </si>
  <si>
    <t>607529-019-0422491</t>
  </si>
  <si>
    <t>JK0128351 - JK0128500</t>
  </si>
  <si>
    <t>608268-006-0288899</t>
  </si>
  <si>
    <t>608268-006-0288900</t>
  </si>
  <si>
    <t>608268-006-0289099</t>
  </si>
  <si>
    <t>JK0158101 -JK0158150</t>
  </si>
  <si>
    <t>JK0128251 - JK0128750</t>
  </si>
  <si>
    <t>JK0128501-JK0128600</t>
  </si>
  <si>
    <t>608268-006-0289100</t>
  </si>
  <si>
    <t>608268-006-0289149</t>
  </si>
  <si>
    <t>JK0128601-JK0128750</t>
  </si>
  <si>
    <t>Hilal Sir GM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</si>
</sst>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28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25" totalsRowShown="0" headerRowDxfId="17" dataDxfId="16">
  <autoFilter ref="A2:I25" xr:uid="{CA5C59B6-CE46-4417-A1E1-57B514AE8648}"/>
  <sortState xmlns:xlrd2="http://schemas.microsoft.com/office/spreadsheetml/2017/richdata2" ref="A3:I25">
    <sortCondition ref="H2:H25"/>
  </sortState>
  <tableColumns count="9">
    <tableColumn id="1" xr3:uid="{F980782F-9663-4F3B-A4B5-72E20C146CA6}" name="S.No." dataDxfId="15">
      <calculatedColumnFormula>ROW()-2</calculatedColumnFormula>
    </tableColumn>
    <tableColumn id="4" xr3:uid="{41F3F928-C5F4-479D-8794-38082DFADE30}" name="Serial" dataDxfId="14"/>
    <tableColumn id="9" xr3:uid="{6551D741-ECEA-463A-A282-9E465AC65D87}" name="RTO Rc Rec" dataDxfId="13"/>
    <tableColumn id="10" xr3:uid="{27CFA8EB-0A9B-4187-B61B-83F48466BC43}" name="Date" dataDxfId="12"/>
    <tableColumn id="2" xr3:uid="{24379A66-65E1-4060-BC95-F052DEABD945}" name="Card Number" dataDxfId="11"/>
    <tableColumn id="3" xr3:uid="{00D6D077-3271-44BD-842C-3A558BFFF932}" name="Qty" dataDxfId="10"/>
    <tableColumn id="11" xr3:uid="{2DE97642-A764-4067-B347-A03241193D5E}" name="Channel" dataDxfId="9"/>
    <tableColumn id="5" xr3:uid="{BE80955F-5DAA-4ECC-BB79-381C74EB834B}" name="Date2" dataDxfId="8"/>
    <tableColumn id="6" xr3:uid="{DD8A9FCE-3112-4052-BE00-322420D04B3B}" name="Status" data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30" totalsRowShown="0" headerRowDxfId="27" dataDxfId="26">
  <autoFilter ref="A2:H30" xr:uid="{2EA62A60-EA8D-4084-B62D-130D765E6A2D}"/>
  <tableColumns count="8">
    <tableColumn id="1" xr3:uid="{D895DD5F-5560-4AF1-98F6-84C7CF0CAA78}" name="S.No." dataDxfId="25">
      <calculatedColumnFormula>ROW()-2</calculatedColumnFormula>
    </tableColumn>
    <tableColumn id="2" xr3:uid="{C4BD8CC6-1DCF-46B4-9447-0D35200C9F6A}" name="Barcode Start No." dataDxfId="24"/>
    <tableColumn id="3" xr3:uid="{B46DB2E9-DEA3-4BCC-AF88-DC78CE972E00}" name="Barcode End No." dataDxfId="23"/>
    <tableColumn id="8" xr3:uid="{64D5D4EA-324D-44CA-A67C-7C8E63C1A56D}" name="Order" dataDxfId="22"/>
    <tableColumn id="4" xr3:uid="{8F1E792C-D591-45D4-9CC6-26DC7EE74461}" name="Channel / Location" dataDxfId="21"/>
    <tableColumn id="5" xr3:uid="{42F3602C-20CA-409C-B4D2-ECCE3474294B}" name="Tags Qty" dataDxfId="20"/>
    <tableColumn id="6" xr3:uid="{10B0A880-1CFD-44B1-B9CD-5A12B7D02111}" name="Dated" dataDxfId="19"/>
    <tableColumn id="7" xr3:uid="{39B403C8-70C4-401B-B460-C0A55C193E92}" name="Remarks" dataDxfId="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25"/>
  <sheetViews>
    <sheetView tabSelected="1" topLeftCell="A10" workbookViewId="0">
      <selection activeCell="A22" sqref="A22:XFD22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9" t="s">
        <v>37</v>
      </c>
      <c r="B1" s="9"/>
      <c r="C1" s="9"/>
      <c r="D1" s="9"/>
      <c r="E1" s="10"/>
      <c r="F1" s="10"/>
      <c r="G1" s="10"/>
      <c r="H1" s="10"/>
      <c r="I1" s="10"/>
    </row>
    <row r="2" spans="1:9" ht="15.75" x14ac:dyDescent="0.25">
      <c r="A2" s="4" t="s">
        <v>0</v>
      </c>
      <c r="B2" s="4" t="s">
        <v>96</v>
      </c>
      <c r="C2" s="4" t="s">
        <v>74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75</v>
      </c>
      <c r="I2" s="4" t="s">
        <v>22</v>
      </c>
    </row>
    <row r="3" spans="1:9" ht="15.75" x14ac:dyDescent="0.25">
      <c r="A3" s="4">
        <f t="shared" ref="A3:A25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73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71</v>
      </c>
      <c r="F9" s="4">
        <v>150</v>
      </c>
      <c r="G9" s="4" t="s">
        <v>30</v>
      </c>
      <c r="H9" s="5">
        <v>46025</v>
      </c>
      <c r="I9" s="4" t="s">
        <v>72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70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98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77</v>
      </c>
      <c r="F13" s="4">
        <v>250</v>
      </c>
      <c r="G13" s="4" t="s">
        <v>16</v>
      </c>
      <c r="H13" s="5">
        <v>46042</v>
      </c>
      <c r="I13" s="4" t="s">
        <v>76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90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97</v>
      </c>
      <c r="C15" s="4">
        <v>250</v>
      </c>
      <c r="D15" s="5">
        <v>46093</v>
      </c>
      <c r="E15" s="4" t="s">
        <v>99</v>
      </c>
      <c r="F15" s="4">
        <v>100</v>
      </c>
      <c r="G15" s="4" t="s">
        <v>30</v>
      </c>
      <c r="H15" s="5">
        <v>46095</v>
      </c>
      <c r="I15" s="4" t="s">
        <v>100</v>
      </c>
    </row>
    <row r="16" spans="1:9" ht="15.75" x14ac:dyDescent="0.25">
      <c r="A16" s="4">
        <f t="shared" ref="A16:A21" si="1">ROW()-2</f>
        <v>14</v>
      </c>
      <c r="B16" s="4"/>
      <c r="C16" s="4"/>
      <c r="D16" s="5"/>
      <c r="E16" s="4" t="s">
        <v>101</v>
      </c>
      <c r="F16" s="4">
        <v>100</v>
      </c>
      <c r="G16" s="4" t="s">
        <v>16</v>
      </c>
      <c r="H16" s="5">
        <v>46100</v>
      </c>
      <c r="I16" s="4" t="s">
        <v>102</v>
      </c>
    </row>
    <row r="17" spans="1:9" ht="15.75" x14ac:dyDescent="0.25">
      <c r="A17" s="4">
        <f t="shared" si="1"/>
        <v>15</v>
      </c>
      <c r="B17" s="4" t="s">
        <v>116</v>
      </c>
      <c r="C17" s="4">
        <v>750</v>
      </c>
      <c r="D17" s="5">
        <v>46112</v>
      </c>
      <c r="E17" s="4" t="s">
        <v>105</v>
      </c>
      <c r="F17" s="4">
        <v>100</v>
      </c>
      <c r="G17" s="4" t="s">
        <v>30</v>
      </c>
      <c r="H17" s="5">
        <v>46112</v>
      </c>
      <c r="I17" s="4" t="s">
        <v>106</v>
      </c>
    </row>
    <row r="18" spans="1:9" ht="15.75" x14ac:dyDescent="0.25">
      <c r="A18" s="4">
        <f t="shared" si="1"/>
        <v>16</v>
      </c>
      <c r="B18" s="4"/>
      <c r="C18" s="4"/>
      <c r="D18" s="5"/>
      <c r="E18" s="4" t="s">
        <v>111</v>
      </c>
      <c r="F18" s="4">
        <v>150</v>
      </c>
      <c r="G18" s="4" t="s">
        <v>16</v>
      </c>
      <c r="H18" s="5">
        <v>46112</v>
      </c>
      <c r="I18" s="4"/>
    </row>
    <row r="19" spans="1:9" ht="15.75" x14ac:dyDescent="0.25">
      <c r="A19" s="4">
        <f t="shared" si="1"/>
        <v>17</v>
      </c>
      <c r="B19" s="4"/>
      <c r="C19" s="4"/>
      <c r="D19" s="5"/>
      <c r="E19" s="4" t="s">
        <v>115</v>
      </c>
      <c r="F19" s="4">
        <v>50</v>
      </c>
      <c r="G19" s="4" t="s">
        <v>70</v>
      </c>
      <c r="H19" s="5">
        <v>46128</v>
      </c>
      <c r="I19" s="4"/>
    </row>
    <row r="20" spans="1:9" ht="15.75" x14ac:dyDescent="0.25">
      <c r="A20" s="4">
        <f t="shared" si="1"/>
        <v>18</v>
      </c>
      <c r="B20" s="4"/>
      <c r="C20" s="4"/>
      <c r="D20" s="5"/>
      <c r="E20" s="4" t="s">
        <v>117</v>
      </c>
      <c r="F20" s="4">
        <v>100</v>
      </c>
      <c r="G20" s="4" t="s">
        <v>30</v>
      </c>
      <c r="H20" s="5">
        <v>46133</v>
      </c>
      <c r="I20" s="4" t="s">
        <v>78</v>
      </c>
    </row>
    <row r="21" spans="1:9" ht="15.75" x14ac:dyDescent="0.25">
      <c r="A21" s="4">
        <f t="shared" si="1"/>
        <v>19</v>
      </c>
      <c r="B21" s="4"/>
      <c r="C21" s="4"/>
      <c r="D21" s="5"/>
      <c r="E21" s="4" t="s">
        <v>120</v>
      </c>
      <c r="F21" s="4">
        <v>150</v>
      </c>
      <c r="G21" s="4" t="s">
        <v>16</v>
      </c>
      <c r="H21" s="5">
        <v>46134</v>
      </c>
      <c r="I21" s="4" t="s">
        <v>121</v>
      </c>
    </row>
    <row r="22" spans="1:9" ht="15.75" x14ac:dyDescent="0.25">
      <c r="A22" s="4">
        <f>ROW()-2</f>
        <v>20</v>
      </c>
      <c r="B22" s="4"/>
      <c r="C22" s="4"/>
      <c r="D22" s="5"/>
      <c r="E22" s="4"/>
      <c r="F22" s="4"/>
      <c r="G22" s="4"/>
      <c r="H22" s="5"/>
      <c r="I22" s="4"/>
    </row>
    <row r="23" spans="1:9" ht="15.75" x14ac:dyDescent="0.25">
      <c r="A23" s="4">
        <f>ROW()-2</f>
        <v>21</v>
      </c>
      <c r="B23" s="4"/>
      <c r="C23" s="4"/>
      <c r="D23" s="5"/>
      <c r="E23" s="4"/>
      <c r="F23" s="4"/>
      <c r="G23" s="4"/>
      <c r="H23" s="5"/>
      <c r="I23" s="4"/>
    </row>
    <row r="24" spans="1:9" ht="15.75" x14ac:dyDescent="0.25">
      <c r="A24" s="4">
        <f>ROW()-2</f>
        <v>22</v>
      </c>
      <c r="B24" s="4"/>
      <c r="C24" s="4"/>
      <c r="D24" s="5"/>
      <c r="E24" s="4"/>
      <c r="F24" s="4"/>
      <c r="G24" s="4"/>
      <c r="H24" s="5"/>
      <c r="I24" s="4"/>
    </row>
    <row r="25" spans="1:9" ht="15.75" x14ac:dyDescent="0.25">
      <c r="A25" s="4">
        <f t="shared" si="0"/>
        <v>23</v>
      </c>
      <c r="B25" s="4"/>
      <c r="C25" s="7">
        <f>SUM(C4:C21)</f>
        <v>3000</v>
      </c>
      <c r="D25" s="4"/>
      <c r="E25" s="4"/>
      <c r="F25" s="7">
        <f>SUM(F3:F18)</f>
        <v>1950</v>
      </c>
      <c r="G25" s="4"/>
      <c r="H25" s="5"/>
      <c r="I25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30"/>
  <sheetViews>
    <sheetView topLeftCell="A22" workbookViewId="0">
      <selection activeCell="G27" sqref="G27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8" t="s">
        <v>8</v>
      </c>
      <c r="B1" s="8"/>
      <c r="C1" s="8"/>
      <c r="D1" s="8"/>
      <c r="E1" s="8"/>
      <c r="F1" s="8"/>
      <c r="G1" s="8"/>
      <c r="H1" s="8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81</v>
      </c>
      <c r="C13" s="6" t="s">
        <v>82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78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79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78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78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80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83</v>
      </c>
      <c r="C20" s="6" t="s">
        <v>84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86</v>
      </c>
      <c r="C21" s="6" t="s">
        <v>87</v>
      </c>
      <c r="D21" s="6" t="s">
        <v>85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30" si="1">ROW()-2</f>
        <v>20</v>
      </c>
      <c r="B22" s="6" t="s">
        <v>88</v>
      </c>
      <c r="C22" s="6" t="s">
        <v>89</v>
      </c>
      <c r="D22" s="6" t="s">
        <v>85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91</v>
      </c>
      <c r="C23" s="6" t="s">
        <v>91</v>
      </c>
      <c r="D23" s="6" t="s">
        <v>85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93</v>
      </c>
      <c r="C24" s="6" t="s">
        <v>92</v>
      </c>
      <c r="D24" s="6" t="s">
        <v>85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 t="s">
        <v>94</v>
      </c>
      <c r="C25" s="6" t="s">
        <v>95</v>
      </c>
      <c r="D25" s="6" t="s">
        <v>85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1"/>
        <v>24</v>
      </c>
      <c r="B26" s="6" t="s">
        <v>103</v>
      </c>
      <c r="C26" s="6" t="s">
        <v>104</v>
      </c>
      <c r="D26" s="6" t="s">
        <v>85</v>
      </c>
      <c r="E26" s="4" t="s">
        <v>16</v>
      </c>
      <c r="F26" s="4">
        <v>50</v>
      </c>
      <c r="G26" s="5">
        <v>46100</v>
      </c>
      <c r="H26" s="4" t="s">
        <v>102</v>
      </c>
    </row>
    <row r="27" spans="1:8" ht="15.75" x14ac:dyDescent="0.25">
      <c r="A27" s="4">
        <f t="shared" si="1"/>
        <v>25</v>
      </c>
      <c r="B27" s="6" t="s">
        <v>108</v>
      </c>
      <c r="C27" s="6" t="s">
        <v>112</v>
      </c>
      <c r="D27" s="6" t="s">
        <v>107</v>
      </c>
      <c r="E27" s="4" t="s">
        <v>16</v>
      </c>
      <c r="F27" s="4">
        <v>200</v>
      </c>
      <c r="G27" s="5">
        <v>46112</v>
      </c>
      <c r="H27" s="4"/>
    </row>
    <row r="28" spans="1:8" ht="15.75" x14ac:dyDescent="0.25">
      <c r="A28" s="4">
        <f t="shared" si="1"/>
        <v>26</v>
      </c>
      <c r="B28" s="6" t="s">
        <v>109</v>
      </c>
      <c r="C28" s="6" t="s">
        <v>110</v>
      </c>
      <c r="D28" s="6" t="s">
        <v>107</v>
      </c>
      <c r="E28" s="4" t="s">
        <v>16</v>
      </c>
      <c r="F28" s="4">
        <v>50</v>
      </c>
      <c r="G28" s="5">
        <v>46112</v>
      </c>
      <c r="H28" s="4"/>
    </row>
    <row r="29" spans="1:8" ht="15.75" x14ac:dyDescent="0.25">
      <c r="A29" s="4">
        <f t="shared" si="1"/>
        <v>27</v>
      </c>
      <c r="B29" s="6" t="s">
        <v>113</v>
      </c>
      <c r="C29" s="6" t="s">
        <v>114</v>
      </c>
      <c r="D29" s="6" t="s">
        <v>107</v>
      </c>
      <c r="E29" s="4" t="s">
        <v>13</v>
      </c>
      <c r="F29" s="4">
        <v>200</v>
      </c>
      <c r="G29" s="5">
        <v>46113</v>
      </c>
      <c r="H29" s="4"/>
    </row>
    <row r="30" spans="1:8" ht="15.75" x14ac:dyDescent="0.25">
      <c r="A30" s="4">
        <f t="shared" si="1"/>
        <v>28</v>
      </c>
      <c r="B30" s="6" t="s">
        <v>118</v>
      </c>
      <c r="C30" s="6" t="s">
        <v>119</v>
      </c>
      <c r="D30" s="6" t="s">
        <v>107</v>
      </c>
      <c r="E30" s="4" t="s">
        <v>17</v>
      </c>
      <c r="F30" s="4">
        <v>50</v>
      </c>
      <c r="G30" s="5">
        <v>46134</v>
      </c>
      <c r="H30" s="4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C11" sqref="C11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/>
      <c r="C5" s="1"/>
      <c r="D5" s="1"/>
      <c r="E5" s="1"/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RC</vt:lpstr>
      <vt:lpstr>FASTag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2026-04-22T11:52:35Z</dcterms:modified>
</cp:coreProperties>
</file>