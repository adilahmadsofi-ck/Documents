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0A9C5E6-5E0D-4950-8EE5-F25442AFB6F9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9" i="4" l="1"/>
  <c r="A36" i="4"/>
  <c r="A35" i="4"/>
  <c r="A26" i="2"/>
  <c r="F31" i="2"/>
  <c r="A28" i="2"/>
  <c r="A29" i="2"/>
  <c r="A30" i="2"/>
  <c r="A34" i="4"/>
  <c r="A37" i="4"/>
  <c r="A38" i="4"/>
  <c r="A39" i="4"/>
  <c r="C31" i="2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1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<sst xmlns="http://schemas.openxmlformats.org/spreadsheetml/2006/main" count="270" uniqueCount="155">
  <si>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</si>
  <si>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</si>
  <si>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</si>
  <si>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</si>
  <si>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</si>
  <si>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</si>
  <si>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</si>
  <si>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</si>
  <si>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</si>
  <si>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</si>
  <si>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</si>
  <si>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</si>
  <si>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</si>
  <si>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</si>
  <si>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</si>
  <si>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</si>
  <si>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</si>
  <si>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</si>
  <si>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</si>
  <si>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</si>
  <si>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</si>
  <si>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</si>
  <si>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</si>
  <si>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</si>
  <si>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</si>
  <si>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</si>
  <si>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</si>
  <si>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</si>
  <si>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</si>
  <si>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</si>
  <si>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</si>
  <si>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</si>
  <si>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</si>
  <si>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</si>
  <si>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</si>
  <si>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</si>
  <si>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</si>
  <si>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</si>
  <si>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</si>
  <si>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</si>
  <si>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</si>
  <si>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</si>
  <si>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</si>
  <si>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</si>
  <si>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</si>
  <si>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</si>
  <si>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</si>
  <si>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</si>
  <si>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</si>
  <si>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</si>
  <si>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</si>
  <si>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</si>
  <si>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</si>
  <si>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</si>
  <si>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</si>
  <si>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</si>
  <si>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</si>
  <si>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</si>
  <si>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</si>
  <si>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</si>
  <si>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</si>
  <si>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</si>
  <si>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</si>
  <si>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</si>
  <si>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</si>
  <si>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</si>
  <si>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</si>
  <si>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</si>
  <si>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</si>
  <si>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</si>
  <si>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</si>
  <si>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</si>
  <si>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</si>
  <si>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</si>
  <si>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</si>
  <si>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</si>
  <si>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</si>
  <si>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</si>
  <si>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</si>
  <si>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</si>
  <si>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</si>
  <si>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</si>
  <si>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</si>
  <si>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</si>
  <si>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</si>
  <si>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</si>
  <si>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</si>
  <si>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</si>
  <si>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</si>
  <si>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</si>
  <si>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</si>
  <si>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</si>
  <si>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</si>
  <si>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</si>
  <si>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</si>
  <si>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</si>
  <si>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</si>
  <si>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</si>
  <si>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</si>
  <si>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</si>
  <si>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</si>
  <si>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</si>
  <si>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</si>
  <si>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</si>
  <si>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</si>
  <si>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</si>
  <si>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</si>
  <si>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</si>
  <si>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</si>
  <si>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</si>
  <si>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</si>
  <si>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</si>
  <si>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</si>
  <si>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</si>
  <si>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</si>
  <si>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</si>
  <si>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</si>
  <si>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</si>
  <si>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</si>
  <si>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</si>
  <si>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</si>
  <si>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</si>
  <si>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</si>
  <si>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</si>
  <si>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</si>
  <si>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</si>
  <si>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</si>
  <si>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</si>
  <si>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</si>
  <si>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</si>
  <si>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</si>
  <si>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</si>
  <si>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</si>
  <si>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</si>
  <si>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</si>
  <si>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</si>
  <si>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</si>
  <si>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</si>
  <si>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</si>
  <si>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</si>
  <si>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</si>
  <si>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</si>
  <si>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</si>
  <si>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</si>
  <si>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</si>
  <si>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</si>
  <si>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</si>
  <si>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</si>
  <si>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608268-006-0416874</t>
  </si>
  <si>
    <t>JK0111651 - JK0111700</t>
  </si>
  <si>
    <t>Mirza Mudasir</t>
  </si>
  <si>
    <t>608268-006-0416800</t>
  </si>
  <si>
    <t>607529-019-0559120</t>
  </si>
  <si>
    <t>607529-019-0559144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</si>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</sst>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3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1" headerRowDxfId="26" dataDxfId="25">
  <autoFilter ref="A2:I31" xr:uid="{CA5C59B6-CE46-4417-A1E1-57B514AE8648}"/>
  <sortState xmlns:xlrd2="http://schemas.microsoft.com/office/spreadsheetml/2017/richdata2" ref="A3:I31">
    <sortCondition ref="H2:H31"/>
  </sortState>
  <tableColumns count="9">
    <tableColumn id="1" xr3:uid="{F980782F-9663-4F3B-A4B5-72E20C146CA6}" name="S.No." dataDxfId="24" totalsRowDxfId="23">
      <calculatedColumnFormula>ROW()-2</calculatedColumnFormula>
    </tableColumn>
    <tableColumn id="4" xr3:uid="{41F3F928-C5F4-479D-8794-38082DFADE30}" name="Serial" dataDxfId="22" totalsRowDxfId="21"/>
    <tableColumn id="9" xr3:uid="{6551D741-ECEA-463A-A282-9E465AC65D87}" name="RTO Rc Rec" dataDxfId="20" totalsRowDxfId="19"/>
    <tableColumn id="10" xr3:uid="{27CFA8EB-0A9B-4187-B61B-83F48466BC43}" name="Date" dataDxfId="18" totalsRowDxfId="17"/>
    <tableColumn id="2" xr3:uid="{24379A66-65E1-4060-BC95-F052DEABD945}" name="Card Number" dataDxfId="16" totalsRowDxfId="15"/>
    <tableColumn id="3" xr3:uid="{00D6D077-3271-44BD-842C-3A558BFFF932}" name="Qty" dataDxfId="14" totalsRowDxfId="13"/>
    <tableColumn id="11" xr3:uid="{2DE97642-A764-4067-B347-A03241193D5E}" name="Channel" dataDxfId="12" totalsRowDxfId="11"/>
    <tableColumn id="5" xr3:uid="{BE80955F-5DAA-4ECC-BB79-381C74EB834B}" name="Date2" dataDxfId="10" totalsRowDxfId="9"/>
    <tableColumn id="6" xr3:uid="{DD8A9FCE-3112-4052-BE00-322420D04B3B}" name="Status" dataDxfId="8" totalsRow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9" totalsRowShown="0" headerRowDxfId="36" dataDxfId="35">
  <autoFilter ref="A2:H39" xr:uid="{2EA62A60-EA8D-4084-B62D-130D765E6A2D}"/>
  <tableColumns count="8">
    <tableColumn id="1" xr3:uid="{D895DD5F-5560-4AF1-98F6-84C7CF0CAA78}" name="S.No." dataDxfId="34">
      <calculatedColumnFormula>ROW()-2</calculatedColumnFormula>
    </tableColumn>
    <tableColumn id="2" xr3:uid="{C4BD8CC6-1DCF-46B4-9447-0D35200C9F6A}" name="Barcode Start No." dataDxfId="33"/>
    <tableColumn id="3" xr3:uid="{B46DB2E9-DEA3-4BCC-AF88-DC78CE972E00}" name="Barcode End No." dataDxfId="32"/>
    <tableColumn id="8" xr3:uid="{64D5D4EA-324D-44CA-A67C-7C8E63C1A56D}" name="Order" dataDxfId="31"/>
    <tableColumn id="4" xr3:uid="{8F1E792C-D591-45D4-9CC6-26DC7EE74461}" name="Channel / Location" dataDxfId="30"/>
    <tableColumn id="5" xr3:uid="{42F3602C-20CA-409C-B4D2-ECCE3474294B}" name="Tags Qty" dataDxfId="29"/>
    <tableColumn id="6" xr3:uid="{10B0A880-1CFD-44B1-B9CD-5A12B7D02111}" name="Dated" dataDxfId="28"/>
    <tableColumn id="7" xr3:uid="{39B403C8-70C4-401B-B460-C0A55C193E92}" name="Remarks" dataDxfId="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1"/>
  <sheetViews>
    <sheetView tabSelected="1" topLeftCell="A13" workbookViewId="0">
      <selection activeCell="E31" sqref="E31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0" t="s">
        <v>37</v>
      </c>
      <c r="B1" s="10"/>
      <c r="C1" s="10"/>
      <c r="D1" s="10"/>
      <c r="E1" s="11"/>
      <c r="F1" s="11"/>
      <c r="G1" s="11"/>
      <c r="H1" s="11"/>
      <c r="I1" s="11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1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149</v>
      </c>
      <c r="F26" s="4">
        <v>50</v>
      </c>
      <c r="G26" s="4" t="s">
        <v>16</v>
      </c>
      <c r="H26" s="5">
        <v>46176</v>
      </c>
      <c r="I26" s="4" t="s">
        <v>150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/>
      <c r="C29" s="4"/>
      <c r="D29" s="5"/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/>
      <c r="F30" s="4"/>
      <c r="G30" s="4"/>
      <c r="H30" s="5"/>
      <c r="I30" s="4"/>
    </row>
    <row r="31" spans="1:9" ht="15.75" x14ac:dyDescent="0.25">
      <c r="A31" s="4">
        <f t="shared" si="0"/>
        <v>29</v>
      </c>
      <c r="B31" s="7" t="s">
        <v>154</v>
      </c>
      <c r="C31" s="7">
        <f>SUM(C4:C27)</f>
        <v>3697</v>
      </c>
      <c r="D31" s="4"/>
      <c r="E31" s="7" t="s">
        <v>154</v>
      </c>
      <c r="F31" s="7">
        <f>SUM(F3:F29)</f>
        <v>2942</v>
      </c>
      <c r="G31" s="4"/>
      <c r="H31" s="5"/>
      <c r="I31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40"/>
  <sheetViews>
    <sheetView topLeftCell="A15" workbookViewId="0">
      <selection activeCell="E39" sqref="E39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9" t="s">
        <v>8</v>
      </c>
      <c r="B1" s="9"/>
      <c r="C1" s="9"/>
      <c r="D1" s="9"/>
      <c r="E1" s="9"/>
      <c r="F1" s="9"/>
      <c r="G1" s="9"/>
      <c r="H1" s="9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9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151</v>
      </c>
      <c r="C35" s="6" t="s">
        <v>151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150</v>
      </c>
    </row>
    <row r="36" spans="1:8" ht="15.75" x14ac:dyDescent="0.25">
      <c r="A36" s="4">
        <f>ROW()-2</f>
        <v>34</v>
      </c>
      <c r="B36" s="6" t="s">
        <v>152</v>
      </c>
      <c r="C36" s="6" t="s">
        <v>153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150</v>
      </c>
    </row>
    <row r="37" spans="1:8" ht="15.75" x14ac:dyDescent="0.25">
      <c r="A37" s="4">
        <f t="shared" si="1"/>
        <v>35</v>
      </c>
      <c r="B37" s="6" t="s">
        <v>147</v>
      </c>
      <c r="C37" s="6" t="s">
        <v>148</v>
      </c>
      <c r="D37" s="6" t="s">
        <v>131</v>
      </c>
      <c r="E37" s="4" t="s">
        <v>17</v>
      </c>
      <c r="F37" s="4">
        <v>50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/>
      <c r="C38" s="6"/>
      <c r="D38" s="6"/>
      <c r="E38" s="4"/>
      <c r="F38" s="4"/>
      <c r="G38" s="4"/>
      <c r="H38" s="4"/>
    </row>
    <row r="39" spans="1:8" ht="15.75" x14ac:dyDescent="0.25">
      <c r="A39" s="4">
        <f t="shared" si="1"/>
        <v>37</v>
      </c>
      <c r="B39" s="6"/>
      <c r="C39" s="6"/>
      <c r="D39" s="6"/>
      <c r="E39" s="7" t="s">
        <v>154</v>
      </c>
      <c r="F39" s="7">
        <f>SUM(F3:F37)</f>
        <v>2376</v>
      </c>
      <c r="G39" s="4"/>
      <c r="H39" s="4"/>
    </row>
    <row r="40" spans="1:8" x14ac:dyDescent="0.25">
      <c r="C40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2026-06-13T07:40:30Z</dcterms:modified>
</cp:coreProperties>
</file>