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9E709CC-E0E1-4207-87BD-09DE611FAE0E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TAGS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4" l="1"/>
  <c r="A19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E16" i="2"/>
  <c r="B16" i="2"/>
  <c r="A16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<sst xmlns="http://schemas.openxmlformats.org/spreadsheetml/2006/main" count="128" uniqueCount="82">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</sst>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H16" totalsRowShown="0" headerRowDxfId="26" dataDxfId="25">
  <autoFilter ref="A2:H16" xr:uid="{CA5C59B6-CE46-4417-A1E1-57B514AE8648}"/>
  <sortState xmlns:xlrd2="http://schemas.microsoft.com/office/spreadsheetml/2017/richdata2" ref="A3:H16">
    <sortCondition ref="G2:G16"/>
  </sortState>
  <tableColumns count="8">
    <tableColumn id="1" xr3:uid="{F980782F-9663-4F3B-A4B5-72E20C146CA6}" name="S.No." dataDxfId="24">
      <calculatedColumnFormula>ROW()-2</calculatedColumnFormula>
    </tableColumn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19" totalsRowShown="0" headerRowDxfId="16" dataDxfId="15">
  <sortState xmlns:xlrd2="http://schemas.microsoft.com/office/spreadsheetml/2017/richdata2" ref="A3:H11">
    <sortCondition ref="G2:G11"/>
  </sortState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Z16"/>
  <sheetViews>
    <sheetView workbookViewId="0">
      <selection activeCell="D15" sqref="D15"/>
    </sheetView>
  </sheetViews>
  <sheetFormatPr defaultRowHeight="15" x14ac:dyDescent="0.25"/>
  <cols>
    <col min="1" max="1" width="10.5703125" bestFit="1" customWidth="1"/>
    <col min="2" max="2" width="16.42578125" bestFit="1" customWidth="1"/>
    <col min="3" max="3" width="16.42578125" customWidth="1"/>
    <col min="4" max="4" width="34.42578125" customWidth="1"/>
    <col min="5" max="6" width="32.5703125" customWidth="1"/>
    <col min="7" max="7" width="16.5703125" customWidth="1"/>
    <col min="8" max="8" width="21.42578125" customWidth="1"/>
    <col min="11" max="11" width="9.42578125" bestFit="1" customWidth="1"/>
    <col min="12" max="12" width="26.28515625" style="2" bestFit="1" customWidth="1"/>
    <col min="13" max="14" width="34" style="2" customWidth="1"/>
    <col min="15" max="15" width="31" customWidth="1"/>
    <col min="16" max="16" width="21.7109375" customWidth="1"/>
    <col min="17" max="17" width="21.42578125" customWidth="1"/>
    <col min="18" max="18" width="35.28515625" customWidth="1"/>
    <col min="20" max="20" width="10.28515625" customWidth="1"/>
    <col min="21" max="21" width="26.85546875" customWidth="1"/>
    <col min="22" max="22" width="17.140625" customWidth="1"/>
    <col min="23" max="23" width="25.140625" customWidth="1"/>
    <col min="24" max="26" width="15.5703125" style="3" customWidth="1"/>
    <col min="27" max="27" width="19.5703125" customWidth="1"/>
  </cols>
  <sheetData>
    <row r="1" spans="1:8" ht="33.75" x14ac:dyDescent="0.5">
      <c r="A1" s="8" t="s">
        <v>37</v>
      </c>
      <c r="B1" s="8"/>
      <c r="C1" s="8"/>
      <c r="D1" s="9"/>
      <c r="E1" s="9"/>
      <c r="F1" s="9"/>
      <c r="G1" s="9"/>
      <c r="H1" s="9"/>
    </row>
    <row r="2" spans="1:8" ht="15.75" x14ac:dyDescent="0.25">
      <c r="A2" s="4" t="s">
        <v>0</v>
      </c>
      <c r="B2" s="4" t="s">
        <v>75</v>
      </c>
      <c r="C2" s="4" t="s">
        <v>21</v>
      </c>
      <c r="D2" s="4" t="s">
        <v>40</v>
      </c>
      <c r="E2" s="4" t="s">
        <v>39</v>
      </c>
      <c r="F2" s="5" t="s">
        <v>38</v>
      </c>
      <c r="G2" s="5" t="s">
        <v>76</v>
      </c>
      <c r="H2" s="4" t="s">
        <v>22</v>
      </c>
    </row>
    <row r="3" spans="1:8" ht="15.75" x14ac:dyDescent="0.25">
      <c r="A3" s="4">
        <f t="shared" ref="A3:A16" si="0">ROW()-2</f>
        <v>1</v>
      </c>
      <c r="B3" s="4">
        <v>750</v>
      </c>
      <c r="C3" s="5">
        <v>46039</v>
      </c>
      <c r="D3" s="4"/>
      <c r="E3" s="4">
        <v>250</v>
      </c>
      <c r="F3" s="4" t="s">
        <v>30</v>
      </c>
      <c r="G3" s="5">
        <v>45983</v>
      </c>
      <c r="H3" s="4" t="s">
        <v>41</v>
      </c>
    </row>
    <row r="4" spans="1:8" ht="15.75" x14ac:dyDescent="0.25">
      <c r="A4" s="4">
        <f t="shared" si="0"/>
        <v>2</v>
      </c>
      <c r="B4" s="4"/>
      <c r="C4" s="4"/>
      <c r="D4" s="4"/>
      <c r="E4" s="4">
        <v>245</v>
      </c>
      <c r="F4" s="4" t="s">
        <v>70</v>
      </c>
      <c r="G4" s="5">
        <v>45983</v>
      </c>
      <c r="H4" s="4" t="s">
        <v>41</v>
      </c>
    </row>
    <row r="5" spans="1:8" ht="15.75" x14ac:dyDescent="0.25">
      <c r="A5" s="4">
        <f t="shared" si="0"/>
        <v>3</v>
      </c>
      <c r="B5" s="4"/>
      <c r="C5" s="4"/>
      <c r="D5" s="4"/>
      <c r="E5" s="4">
        <v>5</v>
      </c>
      <c r="F5" s="4" t="s">
        <v>30</v>
      </c>
      <c r="G5" s="5">
        <v>46012</v>
      </c>
      <c r="H5" s="4" t="s">
        <v>42</v>
      </c>
    </row>
    <row r="6" spans="1:8" ht="15.75" x14ac:dyDescent="0.25">
      <c r="A6" s="4">
        <f t="shared" si="0"/>
        <v>4</v>
      </c>
      <c r="B6" s="4">
        <v>250</v>
      </c>
      <c r="C6" s="5">
        <v>45983</v>
      </c>
      <c r="D6" s="4"/>
      <c r="E6" s="4">
        <v>75</v>
      </c>
      <c r="F6" s="4" t="s">
        <v>16</v>
      </c>
      <c r="G6" s="5">
        <v>46014</v>
      </c>
      <c r="H6" s="4"/>
    </row>
    <row r="7" spans="1:8" ht="15.75" x14ac:dyDescent="0.25">
      <c r="A7" s="4">
        <f t="shared" si="0"/>
        <v>5</v>
      </c>
      <c r="B7" s="4"/>
      <c r="C7" s="4"/>
      <c r="D7" s="4"/>
      <c r="E7" s="4">
        <v>75</v>
      </c>
      <c r="F7" s="4" t="s">
        <v>30</v>
      </c>
      <c r="G7" s="5">
        <v>46014</v>
      </c>
      <c r="H7" s="4" t="s">
        <v>41</v>
      </c>
    </row>
    <row r="8" spans="1:8" ht="15.75" x14ac:dyDescent="0.25">
      <c r="A8" s="4">
        <f t="shared" si="0"/>
        <v>6</v>
      </c>
      <c r="B8" s="4">
        <v>250</v>
      </c>
      <c r="C8" s="5">
        <v>45983</v>
      </c>
      <c r="D8" s="4" t="s">
        <v>74</v>
      </c>
      <c r="E8" s="4">
        <v>100</v>
      </c>
      <c r="F8" s="4" t="s">
        <v>16</v>
      </c>
      <c r="G8" s="5">
        <v>46025</v>
      </c>
      <c r="H8" s="4" t="s">
        <v>50</v>
      </c>
    </row>
    <row r="9" spans="1:8" ht="15.75" x14ac:dyDescent="0.25">
      <c r="A9" s="4">
        <f t="shared" si="0"/>
        <v>7</v>
      </c>
      <c r="B9" s="4"/>
      <c r="C9" s="4"/>
      <c r="D9" s="4" t="s">
        <v>72</v>
      </c>
      <c r="E9" s="4">
        <v>150</v>
      </c>
      <c r="F9" s="4" t="s">
        <v>30</v>
      </c>
      <c r="G9" s="5">
        <v>46025</v>
      </c>
      <c r="H9" s="4" t="s">
        <v>73</v>
      </c>
    </row>
    <row r="10" spans="1:8" ht="15.75" x14ac:dyDescent="0.25">
      <c r="A10" s="4">
        <f t="shared" si="0"/>
        <v>8</v>
      </c>
      <c r="B10" s="4"/>
      <c r="C10" s="4"/>
      <c r="D10" s="4" t="s">
        <v>49</v>
      </c>
      <c r="E10" s="4">
        <v>150</v>
      </c>
      <c r="F10" s="4" t="s">
        <v>71</v>
      </c>
      <c r="G10" s="5">
        <v>46027</v>
      </c>
      <c r="H10" s="4"/>
    </row>
    <row r="11" spans="1:8" ht="15.75" x14ac:dyDescent="0.25">
      <c r="A11" s="4">
        <f t="shared" si="0"/>
        <v>9</v>
      </c>
      <c r="B11" s="4">
        <v>250</v>
      </c>
      <c r="C11" s="5">
        <v>46014</v>
      </c>
      <c r="D11" s="4"/>
      <c r="E11" s="4">
        <v>40</v>
      </c>
      <c r="F11" s="4" t="s">
        <v>16</v>
      </c>
      <c r="G11" s="5">
        <v>46034</v>
      </c>
      <c r="H11" s="4"/>
    </row>
    <row r="12" spans="1:8" ht="15.75" x14ac:dyDescent="0.25">
      <c r="A12" s="4">
        <f t="shared" si="0"/>
        <v>10</v>
      </c>
      <c r="B12" s="4">
        <v>500</v>
      </c>
      <c r="C12" s="5">
        <v>46025</v>
      </c>
      <c r="D12" s="4"/>
      <c r="E12" s="4">
        <v>60</v>
      </c>
      <c r="F12" s="4" t="s">
        <v>16</v>
      </c>
      <c r="G12" s="5">
        <v>46037</v>
      </c>
      <c r="H12" s="4"/>
    </row>
    <row r="13" spans="1:8" ht="15.75" x14ac:dyDescent="0.25">
      <c r="A13" s="4">
        <f t="shared" si="0"/>
        <v>11</v>
      </c>
      <c r="B13" s="4"/>
      <c r="C13" s="4"/>
      <c r="D13" s="4" t="s">
        <v>78</v>
      </c>
      <c r="E13" s="4">
        <v>250</v>
      </c>
      <c r="F13" s="4" t="s">
        <v>16</v>
      </c>
      <c r="G13" s="5">
        <v>46042</v>
      </c>
      <c r="H13" s="4" t="s">
        <v>77</v>
      </c>
    </row>
    <row r="14" spans="1:8" ht="15.75" x14ac:dyDescent="0.25">
      <c r="A14" s="4">
        <f t="shared" si="0"/>
        <v>12</v>
      </c>
      <c r="B14" s="4"/>
      <c r="C14" s="4"/>
      <c r="D14" s="4"/>
      <c r="E14" s="4"/>
      <c r="F14" s="4"/>
      <c r="G14" s="5"/>
      <c r="H14" s="4"/>
    </row>
    <row r="15" spans="1:8" ht="15.75" x14ac:dyDescent="0.25">
      <c r="A15" s="4">
        <f t="shared" si="0"/>
        <v>13</v>
      </c>
      <c r="B15" s="4"/>
      <c r="C15" s="4"/>
      <c r="D15" s="4"/>
      <c r="E15" s="4"/>
      <c r="F15" s="4"/>
      <c r="G15" s="5"/>
      <c r="H15" s="4"/>
    </row>
    <row r="16" spans="1:8" ht="15.75" x14ac:dyDescent="0.25">
      <c r="A16" s="4">
        <f t="shared" si="0"/>
        <v>14</v>
      </c>
      <c r="B16" s="7">
        <f>SUM(B3:B15)</f>
        <v>2000</v>
      </c>
      <c r="C16" s="4"/>
      <c r="D16" s="4"/>
      <c r="E16" s="7">
        <f>SUM(E3:E15)</f>
        <v>1400</v>
      </c>
      <c r="F16" s="4"/>
      <c r="G16" s="5"/>
      <c r="H16" s="4"/>
    </row>
  </sheetData>
  <mergeCells count="1">
    <mergeCell ref="A1:H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19"/>
  <sheetViews>
    <sheetView tabSelected="1" workbookViewId="0">
      <selection activeCell="B18" sqref="B18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19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 t="shared" si="0"/>
        <v>11</v>
      </c>
      <c r="B13" s="6" t="s">
        <v>55</v>
      </c>
      <c r="C13" s="6" t="s">
        <v>54</v>
      </c>
      <c r="D13" s="6" t="s">
        <v>67</v>
      </c>
      <c r="E13" s="4" t="s">
        <v>17</v>
      </c>
      <c r="F13" s="4">
        <v>99</v>
      </c>
      <c r="G13" s="5">
        <v>46026</v>
      </c>
      <c r="H13" s="4" t="s">
        <v>56</v>
      </c>
    </row>
    <row r="14" spans="1:8" ht="15.75" x14ac:dyDescent="0.25">
      <c r="A14" s="4">
        <f t="shared" si="0"/>
        <v>12</v>
      </c>
      <c r="B14" s="6" t="s">
        <v>57</v>
      </c>
      <c r="C14" s="6" t="s">
        <v>80</v>
      </c>
      <c r="D14" s="6" t="s">
        <v>67</v>
      </c>
      <c r="E14" s="4" t="s">
        <v>13</v>
      </c>
      <c r="F14" s="4">
        <v>25</v>
      </c>
      <c r="G14" s="5">
        <v>46042</v>
      </c>
      <c r="H14" s="4" t="s">
        <v>79</v>
      </c>
    </row>
    <row r="15" spans="1:8" ht="15.75" x14ac:dyDescent="0.25">
      <c r="A15" s="4">
        <f t="shared" si="0"/>
        <v>13</v>
      </c>
      <c r="B15" s="6" t="s">
        <v>60</v>
      </c>
      <c r="C15" s="6" t="s">
        <v>59</v>
      </c>
      <c r="D15" s="6" t="s">
        <v>67</v>
      </c>
      <c r="E15" s="4" t="s">
        <v>16</v>
      </c>
      <c r="F15" s="4">
        <v>98</v>
      </c>
      <c r="G15" s="5">
        <v>46032</v>
      </c>
      <c r="H15" s="4" t="s">
        <v>61</v>
      </c>
    </row>
    <row r="16" spans="1:8" ht="15.75" x14ac:dyDescent="0.25">
      <c r="A16" s="4">
        <f t="shared" si="0"/>
        <v>14</v>
      </c>
      <c r="B16" s="6" t="s">
        <v>62</v>
      </c>
      <c r="C16" s="6" t="s">
        <v>62</v>
      </c>
      <c r="D16" s="6" t="s">
        <v>67</v>
      </c>
      <c r="E16" s="4" t="s">
        <v>13</v>
      </c>
      <c r="F16" s="4">
        <v>50</v>
      </c>
      <c r="G16" s="5">
        <v>46042</v>
      </c>
      <c r="H16" s="4" t="s">
        <v>79</v>
      </c>
    </row>
    <row r="17" spans="1:8" ht="15.75" x14ac:dyDescent="0.25">
      <c r="A17" s="4">
        <f t="shared" si="0"/>
        <v>15</v>
      </c>
      <c r="B17" s="6" t="s">
        <v>63</v>
      </c>
      <c r="C17" s="6" t="s">
        <v>64</v>
      </c>
      <c r="D17" s="6" t="s">
        <v>67</v>
      </c>
      <c r="E17" s="4" t="s">
        <v>68</v>
      </c>
      <c r="F17" s="4">
        <v>4</v>
      </c>
      <c r="G17" s="5">
        <v>46032</v>
      </c>
      <c r="H17" s="4" t="s">
        <v>69</v>
      </c>
    </row>
    <row r="18" spans="1:8" ht="15.75" x14ac:dyDescent="0.25">
      <c r="A18" s="4">
        <f t="shared" si="0"/>
        <v>16</v>
      </c>
      <c r="B18" s="6" t="s">
        <v>81</v>
      </c>
      <c r="C18" s="6" t="s">
        <v>58</v>
      </c>
      <c r="D18" s="6"/>
      <c r="E18" s="4"/>
      <c r="F18" s="4"/>
      <c r="G18" s="4"/>
      <c r="H18" s="4"/>
    </row>
    <row r="19" spans="1:8" ht="15.75" x14ac:dyDescent="0.25">
      <c r="A19" s="4">
        <f t="shared" si="0"/>
        <v>17</v>
      </c>
      <c r="B19" s="6"/>
      <c r="C19" s="6"/>
      <c r="D19" s="6"/>
      <c r="E19" s="4"/>
      <c r="F19" s="4"/>
      <c r="G19" s="4"/>
      <c r="H19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2026-01-20T12:04:20Z</dcterms:modified>
</cp:coreProperties>
</file>